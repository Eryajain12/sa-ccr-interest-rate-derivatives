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yaj\OneDrive\Desktop\Projects\"/>
    </mc:Choice>
  </mc:AlternateContent>
  <xr:revisionPtr revIDLastSave="0" documentId="13_ncr:1_{C27F74A7-F0F3-44C1-A7D8-8278D3E6AE04}" xr6:coauthVersionLast="47" xr6:coauthVersionMax="47" xr10:uidLastSave="{00000000-0000-0000-0000-000000000000}"/>
  <bookViews>
    <workbookView xWindow="-108" yWindow="-108" windowWidth="23256" windowHeight="12456" firstSheet="2" activeTab="6" xr2:uid="{9A6B4204-457E-5940-B6B8-6A324AB319F1}"/>
  </bookViews>
  <sheets>
    <sheet name="CEM Conversion Factor Matrix" sheetId="2" r:id="rId1"/>
    <sheet name="CEM Example" sheetId="1" r:id="rId2"/>
    <sheet name="IMM Example" sheetId="8" r:id="rId3"/>
    <sheet name="SA CCR Interest Rate Example" sheetId="7" r:id="rId4"/>
    <sheet name="SA CCR EQ Example" sheetId="3" r:id="rId5"/>
    <sheet name="Superviosry Table 2" sheetId="4" r:id="rId6"/>
    <sheet name="Project" sheetId="5" r:id="rId7"/>
    <sheet name="Project Trade level data" sheetId="6" r:id="rId8"/>
  </sheets>
  <definedNames>
    <definedName name="_xlnm._FilterDatabase" localSheetId="6" hidden="1">Project!$AB$1:$AB$63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5" l="1"/>
  <c r="C62" i="5"/>
  <c r="C61" i="5"/>
  <c r="I54" i="5"/>
  <c r="I53" i="5"/>
  <c r="I52" i="5"/>
  <c r="I51" i="5"/>
  <c r="I50" i="5"/>
  <c r="I49" i="5"/>
  <c r="I48" i="5"/>
  <c r="H54" i="5"/>
  <c r="H53" i="5"/>
  <c r="H52" i="5"/>
  <c r="H51" i="5"/>
  <c r="H50" i="5"/>
  <c r="H49" i="5"/>
  <c r="H48" i="5"/>
  <c r="F54" i="5"/>
  <c r="F53" i="5"/>
  <c r="E54" i="5"/>
  <c r="E53" i="5"/>
  <c r="E52" i="5"/>
  <c r="E51" i="5"/>
  <c r="E50" i="5"/>
  <c r="E49" i="5"/>
  <c r="D48" i="5"/>
  <c r="D54" i="5"/>
  <c r="D53" i="5"/>
  <c r="D52" i="5"/>
  <c r="D51" i="5"/>
  <c r="D50" i="5"/>
  <c r="D49" i="5"/>
  <c r="X20" i="5" l="1"/>
  <c r="X19" i="5"/>
  <c r="X18" i="5"/>
  <c r="X17" i="5"/>
  <c r="X16" i="5"/>
  <c r="X15" i="5"/>
  <c r="X14" i="5"/>
  <c r="X13" i="5"/>
  <c r="X9" i="5"/>
  <c r="X7" i="5"/>
  <c r="X6" i="5"/>
  <c r="W6" i="5"/>
  <c r="W7" i="5"/>
  <c r="W8" i="5"/>
  <c r="X8" i="5" s="1"/>
  <c r="W9" i="5"/>
  <c r="W10" i="5"/>
  <c r="X10" i="5" s="1"/>
  <c r="W11" i="5"/>
  <c r="X11" i="5" s="1"/>
  <c r="W12" i="5"/>
  <c r="X12" i="5" s="1"/>
  <c r="M20" i="5"/>
  <c r="M13" i="5"/>
  <c r="M12" i="5"/>
  <c r="E30" i="5" s="1"/>
  <c r="M11" i="5"/>
  <c r="M10" i="5"/>
  <c r="M9" i="5"/>
  <c r="M8" i="5"/>
  <c r="Q15" i="5"/>
  <c r="Q14" i="5"/>
  <c r="Q13" i="5"/>
  <c r="Q12" i="5"/>
  <c r="L20" i="5"/>
  <c r="Q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L12" i="5"/>
  <c r="L11" i="5"/>
  <c r="Q11" i="5" s="1"/>
  <c r="L10" i="5"/>
  <c r="Q10" i="5" s="1"/>
  <c r="L9" i="5"/>
  <c r="Q9" i="5" s="1"/>
  <c r="L8" i="5"/>
  <c r="Q8" i="5" s="1"/>
  <c r="L7" i="5"/>
  <c r="M7" i="5" s="1"/>
  <c r="L6" i="5"/>
  <c r="M6" i="5" s="1"/>
  <c r="L5" i="5"/>
  <c r="M5" i="5" s="1"/>
  <c r="E39" i="5" l="1"/>
  <c r="Q5" i="5"/>
  <c r="Q17" i="5"/>
  <c r="Q6" i="5"/>
  <c r="Q18" i="5"/>
  <c r="Q7" i="5"/>
  <c r="Q19" i="5"/>
  <c r="Q16" i="5"/>
  <c r="AG10" i="5" l="1"/>
  <c r="AF10" i="5"/>
  <c r="AG9" i="5"/>
  <c r="AG8" i="5"/>
  <c r="AG7" i="5"/>
  <c r="AG6" i="5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O5" i="7"/>
  <c r="P5" i="7" s="1"/>
  <c r="AA10" i="5"/>
  <c r="AA9" i="5"/>
  <c r="AA8" i="5"/>
  <c r="L5" i="3"/>
  <c r="M5" i="3"/>
  <c r="I18" i="8"/>
  <c r="H18" i="8"/>
  <c r="G18" i="8"/>
  <c r="J18" i="8" s="1"/>
  <c r="F18" i="8"/>
  <c r="E18" i="8"/>
  <c r="G17" i="8"/>
  <c r="J17" i="8" s="1"/>
  <c r="F17" i="8"/>
  <c r="I17" i="8" s="1"/>
  <c r="E17" i="8"/>
  <c r="H17" i="8" s="1"/>
  <c r="L17" i="8" s="1"/>
  <c r="J16" i="8"/>
  <c r="I16" i="8"/>
  <c r="G16" i="8"/>
  <c r="F16" i="8"/>
  <c r="E16" i="8"/>
  <c r="H16" i="8" s="1"/>
  <c r="L16" i="8" s="1"/>
  <c r="I15" i="8"/>
  <c r="H15" i="8"/>
  <c r="G15" i="8"/>
  <c r="J15" i="8" s="1"/>
  <c r="F15" i="8"/>
  <c r="E15" i="8"/>
  <c r="G14" i="8"/>
  <c r="J14" i="8" s="1"/>
  <c r="F14" i="8"/>
  <c r="I14" i="8" s="1"/>
  <c r="E14" i="8"/>
  <c r="H14" i="8" s="1"/>
  <c r="W5" i="5"/>
  <c r="X5" i="5" l="1"/>
  <c r="AG5" i="5" s="1"/>
  <c r="AH5" i="5" s="1"/>
  <c r="E34" i="5" s="1"/>
  <c r="AF7" i="5"/>
  <c r="AF9" i="5"/>
  <c r="AH17" i="5"/>
  <c r="AH18" i="5"/>
  <c r="AH19" i="5"/>
  <c r="E38" i="5" s="1"/>
  <c r="AH8" i="5"/>
  <c r="AH20" i="5"/>
  <c r="E37" i="5" s="1"/>
  <c r="AH10" i="5"/>
  <c r="AH9" i="5"/>
  <c r="AH7" i="5"/>
  <c r="E33" i="5" s="1"/>
  <c r="AH11" i="5"/>
  <c r="E31" i="5" s="1"/>
  <c r="AH12" i="5"/>
  <c r="AH13" i="5"/>
  <c r="E35" i="5" s="1"/>
  <c r="AH14" i="5"/>
  <c r="E36" i="5" s="1"/>
  <c r="AH15" i="5"/>
  <c r="E40" i="5" s="1"/>
  <c r="AH16" i="5"/>
  <c r="AF6" i="5"/>
  <c r="AF5" i="5"/>
  <c r="AH6" i="5"/>
  <c r="AF8" i="5"/>
  <c r="L15" i="8"/>
  <c r="L18" i="8"/>
  <c r="L14" i="8"/>
  <c r="M14" i="8" s="1"/>
  <c r="M15" i="8" s="1"/>
  <c r="M16" i="8" s="1"/>
  <c r="M17" i="8" s="1"/>
  <c r="M18" i="8" s="1"/>
  <c r="Z5" i="7"/>
  <c r="R7" i="7"/>
  <c r="O6" i="7"/>
  <c r="P6" i="7" s="1"/>
  <c r="V6" i="7" s="1"/>
  <c r="O7" i="7"/>
  <c r="P7" i="7" s="1"/>
  <c r="V5" i="7"/>
  <c r="L5" i="7"/>
  <c r="J6" i="3"/>
  <c r="J5" i="3"/>
  <c r="K9" i="1"/>
  <c r="K8" i="1"/>
  <c r="K10" i="1" s="1"/>
  <c r="N6" i="3"/>
  <c r="N5" i="3"/>
  <c r="AG5" i="3"/>
  <c r="AE5" i="3"/>
  <c r="M6" i="3"/>
  <c r="L6" i="3"/>
  <c r="E32" i="5" l="1"/>
  <c r="E41" i="5"/>
  <c r="W5" i="7"/>
  <c r="V7" i="7"/>
  <c r="W7" i="7" s="1"/>
  <c r="V5" i="3"/>
  <c r="V6" i="3"/>
  <c r="U5" i="3"/>
  <c r="U6" i="3"/>
  <c r="L9" i="1"/>
  <c r="L8" i="1"/>
  <c r="L10" i="1" s="1"/>
  <c r="M8" i="1" s="1"/>
  <c r="J10" i="1"/>
  <c r="N8" i="1" s="1"/>
  <c r="W8" i="7" l="1"/>
  <c r="X5" i="7" s="1"/>
  <c r="Y5" i="7" s="1"/>
  <c r="AA5" i="7" s="1"/>
  <c r="X5" i="3"/>
  <c r="Z5" i="3" s="1"/>
  <c r="AD5" i="3" s="1"/>
  <c r="AH5" i="3" s="1"/>
  <c r="W5" i="3"/>
  <c r="Y5" i="3" s="1"/>
  <c r="AF5" i="3" s="1"/>
  <c r="O8" i="1"/>
  <c r="P8" i="1" s="1"/>
  <c r="AC5" i="3" l="1"/>
</calcChain>
</file>

<file path=xl/sharedStrings.xml><?xml version="1.0" encoding="utf-8"?>
<sst xmlns="http://schemas.openxmlformats.org/spreadsheetml/2006/main" count="632" uniqueCount="205">
  <si>
    <t>Trade ID</t>
  </si>
  <si>
    <t xml:space="preserve">Counterparty </t>
  </si>
  <si>
    <t>Agreement ID</t>
  </si>
  <si>
    <t>Product Type</t>
  </si>
  <si>
    <t>Conversion Factor</t>
  </si>
  <si>
    <t>Maturity</t>
  </si>
  <si>
    <t>Remainging Maturity</t>
  </si>
  <si>
    <t>Gross Current Credit Expsoure</t>
  </si>
  <si>
    <t>PFE</t>
  </si>
  <si>
    <t>NGR</t>
  </si>
  <si>
    <t>Adjusted PFE</t>
  </si>
  <si>
    <t>EAD</t>
  </si>
  <si>
    <r>
      <t>A</t>
    </r>
    <r>
      <rPr>
        <b/>
        <vertAlign val="subscript"/>
        <sz val="12"/>
        <color theme="0"/>
        <rFont val="EYInterstate-Light"/>
      </rPr>
      <t>gross</t>
    </r>
  </si>
  <si>
    <t>ABC Corp</t>
  </si>
  <si>
    <t>IR SWAP</t>
  </si>
  <si>
    <t>Notional (USD)</t>
  </si>
  <si>
    <t>Net Current Credit Exposure (MTM)</t>
  </si>
  <si>
    <t>CCY IR SWAP</t>
  </si>
  <si>
    <t>PFE = Notional * Conversion Factor</t>
  </si>
  <si>
    <t>Two trades within a netting set:</t>
  </si>
  <si>
    <t>1. Interest rate swap</t>
  </si>
  <si>
    <t>2. Cross ccurency swap</t>
  </si>
  <si>
    <t>Direction</t>
  </si>
  <si>
    <t>Long</t>
  </si>
  <si>
    <t>Short</t>
  </si>
  <si>
    <t>Reference Asset</t>
  </si>
  <si>
    <t>STOXX 50 Index</t>
  </si>
  <si>
    <t>S&amp;P 500 Index</t>
  </si>
  <si>
    <t>Trade Type</t>
  </si>
  <si>
    <t>Call</t>
  </si>
  <si>
    <t>Forward</t>
  </si>
  <si>
    <t>Units</t>
  </si>
  <si>
    <t>Adjusted Notional</t>
  </si>
  <si>
    <t>Fairvalue</t>
  </si>
  <si>
    <t>Supervisory Factor</t>
  </si>
  <si>
    <t>Supervisory Correlation (𝜌)</t>
  </si>
  <si>
    <t>Supervisory Volatility (𝜎)</t>
  </si>
  <si>
    <t>MTA</t>
  </si>
  <si>
    <t>Threshold</t>
  </si>
  <si>
    <t>Variable Margin</t>
  </si>
  <si>
    <t>NICA</t>
  </si>
  <si>
    <r>
      <t>Adjusted Notional (</t>
    </r>
    <r>
      <rPr>
        <b/>
        <i/>
        <sz val="12"/>
        <color theme="0"/>
        <rFont val="Aptos Narrow"/>
        <scheme val="minor"/>
      </rPr>
      <t>d</t>
    </r>
    <r>
      <rPr>
        <b/>
        <sz val="12"/>
        <color theme="0"/>
        <rFont val="Aptos Narrow"/>
        <family val="2"/>
        <scheme val="minor"/>
      </rPr>
      <t>)</t>
    </r>
  </si>
  <si>
    <r>
      <t>Supervisory Factor (</t>
    </r>
    <r>
      <rPr>
        <b/>
        <i/>
        <sz val="12"/>
        <color theme="0"/>
        <rFont val="Aptos Narrow"/>
        <scheme val="minor"/>
      </rPr>
      <t>SF</t>
    </r>
    <r>
      <rPr>
        <b/>
        <sz val="12"/>
        <color theme="0"/>
        <rFont val="Aptos Narrow"/>
        <family val="2"/>
        <scheme val="minor"/>
      </rPr>
      <t>)</t>
    </r>
  </si>
  <si>
    <t>Superviory Delta (𝛿)</t>
  </si>
  <si>
    <r>
      <t>Underlying Spot Price (</t>
    </r>
    <r>
      <rPr>
        <b/>
        <i/>
        <sz val="12"/>
        <color theme="0"/>
        <rFont val="Aptos Narrow"/>
        <scheme val="minor"/>
      </rPr>
      <t>P</t>
    </r>
    <r>
      <rPr>
        <b/>
        <sz val="12"/>
        <color theme="0"/>
        <rFont val="Aptos Narrow"/>
        <family val="2"/>
        <scheme val="minor"/>
      </rPr>
      <t>)</t>
    </r>
  </si>
  <si>
    <r>
      <t>Strike (</t>
    </r>
    <r>
      <rPr>
        <b/>
        <i/>
        <sz val="12"/>
        <color theme="0"/>
        <rFont val="Aptos Narrow"/>
        <scheme val="minor"/>
      </rPr>
      <t>K)</t>
    </r>
  </si>
  <si>
    <t>Maturity (Year)</t>
  </si>
  <si>
    <t>MPOR</t>
  </si>
  <si>
    <t>MPOR (Days)</t>
  </si>
  <si>
    <t>Given for this example</t>
  </si>
  <si>
    <t>MPOR = 5 day for cleared trades, 10 day otherwise</t>
  </si>
  <si>
    <t>for VM trades</t>
  </si>
  <si>
    <t>Otherwise</t>
  </si>
  <si>
    <t xml:space="preserve"> </t>
  </si>
  <si>
    <t>PFE Example</t>
  </si>
  <si>
    <t>RC (margined)</t>
  </si>
  <si>
    <t xml:space="preserve">EAD (margined) </t>
  </si>
  <si>
    <t>RC (unmargined)</t>
  </si>
  <si>
    <t>EAD (unmargined)</t>
  </si>
  <si>
    <t>Multiplier (margined)</t>
  </si>
  <si>
    <t>Netting Set Addon (margined)</t>
  </si>
  <si>
    <t>PFE (Margined)</t>
  </si>
  <si>
    <t>PFE (unmargined)</t>
  </si>
  <si>
    <t>Multiplier (unmargined)</t>
  </si>
  <si>
    <r>
      <t>Maturity Factor (</t>
    </r>
    <r>
      <rPr>
        <i/>
        <sz val="12"/>
        <color theme="0"/>
        <rFont val="Aptos Narrow"/>
        <scheme val="minor"/>
      </rPr>
      <t>MF</t>
    </r>
    <r>
      <rPr>
        <b/>
        <sz val="12"/>
        <color theme="0"/>
        <rFont val="Aptos Narrow"/>
        <family val="2"/>
        <scheme val="minor"/>
      </rPr>
      <t>) (margined)</t>
    </r>
  </si>
  <si>
    <r>
      <t>Maturity Factor (</t>
    </r>
    <r>
      <rPr>
        <i/>
        <sz val="12"/>
        <color theme="0"/>
        <rFont val="Aptos Narrow"/>
        <scheme val="minor"/>
      </rPr>
      <t>MF</t>
    </r>
    <r>
      <rPr>
        <b/>
        <sz val="12"/>
        <color theme="0"/>
        <rFont val="Aptos Narrow"/>
        <family val="2"/>
        <scheme val="minor"/>
      </rPr>
      <t>) (unmargined)</t>
    </r>
  </si>
  <si>
    <t>Adjusted Derivative Contract Value (margined)</t>
  </si>
  <si>
    <t>Adjusted Derivative Contract Value (unmargined)</t>
  </si>
  <si>
    <t>Netting Set Addon (unmargined)</t>
  </si>
  <si>
    <t>Asset Class</t>
  </si>
  <si>
    <t>Interest Rate</t>
  </si>
  <si>
    <t>Counterparty ID</t>
  </si>
  <si>
    <t>Netting Set ID</t>
  </si>
  <si>
    <t>Ticket Number</t>
  </si>
  <si>
    <t>Sum of MtM</t>
  </si>
  <si>
    <t>Sum of Base Notional</t>
  </si>
  <si>
    <t>Base Currency</t>
  </si>
  <si>
    <t>Basis/Volatility Indicator</t>
  </si>
  <si>
    <t>Specific Basis</t>
  </si>
  <si>
    <t>Hedging Set</t>
  </si>
  <si>
    <t>Maturity Date</t>
  </si>
  <si>
    <t>Mi</t>
  </si>
  <si>
    <t>Hedging Subset</t>
  </si>
  <si>
    <t>Start Date</t>
  </si>
  <si>
    <t>Si</t>
  </si>
  <si>
    <t>End Date</t>
  </si>
  <si>
    <t>Ei</t>
  </si>
  <si>
    <t>Supervisory Duration</t>
  </si>
  <si>
    <t>Margined/ Unmargined</t>
  </si>
  <si>
    <t>CCP</t>
  </si>
  <si>
    <t>Margin Frequency (Business Days)</t>
  </si>
  <si>
    <t>Maturity Factor</t>
  </si>
  <si>
    <t>Buy/Sell Indicator</t>
  </si>
  <si>
    <t>Contractual Exercise Date</t>
  </si>
  <si>
    <t>Ti</t>
  </si>
  <si>
    <t>Put/Call Indicator</t>
  </si>
  <si>
    <t>Strike Price (Ki)</t>
  </si>
  <si>
    <t>Underlying Price (Pi)</t>
  </si>
  <si>
    <t>Supervisory Option Volatility</t>
  </si>
  <si>
    <t>Option Delta</t>
  </si>
  <si>
    <t>Supervisory Delta</t>
  </si>
  <si>
    <t>Trade Level Effective Notional</t>
  </si>
  <si>
    <t>ABC123</t>
  </si>
  <si>
    <t>SWPTN</t>
  </si>
  <si>
    <t>USD</t>
  </si>
  <si>
    <t/>
  </si>
  <si>
    <t>M</t>
  </si>
  <si>
    <t>N</t>
  </si>
  <si>
    <t>B</t>
  </si>
  <si>
    <t>C</t>
  </si>
  <si>
    <t>P</t>
  </si>
  <si>
    <t>JPY</t>
  </si>
  <si>
    <t>S</t>
  </si>
  <si>
    <t>CPFLR</t>
  </si>
  <si>
    <t>IRSWP</t>
  </si>
  <si>
    <t>AUD</t>
  </si>
  <si>
    <t>Basis</t>
  </si>
  <si>
    <t>3 month LIBOR vs 6 month LIBOR</t>
  </si>
  <si>
    <t>AUD [3 month LIBOR vs 6 month LIBOR]</t>
  </si>
  <si>
    <t>1 month LIBOR vs OIS Rate</t>
  </si>
  <si>
    <t>AUD [1 month LIBOR vs OIS Rate]</t>
  </si>
  <si>
    <t>DEF123</t>
  </si>
  <si>
    <t>FRA</t>
  </si>
  <si>
    <t>U</t>
  </si>
  <si>
    <t>NA</t>
  </si>
  <si>
    <t>XYZ789</t>
  </si>
  <si>
    <t>Sum of Trade Level Effective Notional</t>
  </si>
  <si>
    <t>Sum of Sum of Trade Level Effective Notional</t>
  </si>
  <si>
    <t>Hedging Set Effective Notional</t>
  </si>
  <si>
    <t>PFE Add_on</t>
  </si>
  <si>
    <t>CR Trade Level Data</t>
  </si>
  <si>
    <t>COB Date</t>
  </si>
  <si>
    <t>Sub Class</t>
  </si>
  <si>
    <t>Trade Leg 1 Currency</t>
  </si>
  <si>
    <t>Trade Leg 2 Currency</t>
  </si>
  <si>
    <t>Underlying Entity Name</t>
  </si>
  <si>
    <t>Underlying Entity Type</t>
  </si>
  <si>
    <t>Underlying Entity Rating</t>
  </si>
  <si>
    <t>Leg 1 Notional</t>
  </si>
  <si>
    <t>Leg 2 Notional</t>
  </si>
  <si>
    <t>Base Notional</t>
  </si>
  <si>
    <t>MtM</t>
  </si>
  <si>
    <t>For equity and commodity derivatives, the adjusted notional is defined as the product of the</t>
  </si>
  <si>
    <t>current price of one unit of the stock or commodity (eg a share of equity or barrel of oil) and</t>
  </si>
  <si>
    <t>the number of units referenced by the trade.</t>
  </si>
  <si>
    <t>RC=Max(V-C,TH + MTA - NICA,0)</t>
  </si>
  <si>
    <t>IRS</t>
  </si>
  <si>
    <t>European Option</t>
  </si>
  <si>
    <t>1 into 10yrs</t>
  </si>
  <si>
    <t>Bae CCY</t>
  </si>
  <si>
    <t>EUR</t>
  </si>
  <si>
    <t>Notional (1000's)</t>
  </si>
  <si>
    <t>Pay  Leg</t>
  </si>
  <si>
    <t>Reecive Leg</t>
  </si>
  <si>
    <t>Fixed</t>
  </si>
  <si>
    <t>Floating</t>
  </si>
  <si>
    <t>Market Value (1000's)</t>
  </si>
  <si>
    <t>RC (unmagined)</t>
  </si>
  <si>
    <t>Swap strike rate</t>
  </si>
  <si>
    <t>Current forward 10yr swap rate</t>
  </si>
  <si>
    <t>Trade 1 is long in the primary risk factor (the reference floating rate) and is not an option so</t>
  </si>
  <si>
    <t xml:space="preserve">the supervisory delta is equal to 1. </t>
  </si>
  <si>
    <t>Trade 2 is short in the primary risk factor and is not an option; thus, the supervisory delta is equal to -1.</t>
  </si>
  <si>
    <t>Trade 3 is an option to enter into an interest rate swap that is short in the primary risk factor and therefore is treated as a bought put option</t>
  </si>
  <si>
    <t>δ=-Φ(-(ln (P+λ)/(K+λ)+1/2 σ^2  T/250)/(σ√(T/250)  ))</t>
  </si>
  <si>
    <t>Hedging set time bucket</t>
  </si>
  <si>
    <t>Unmargined</t>
  </si>
  <si>
    <t>unmargined and have remaining maturities in excess of</t>
  </si>
  <si>
    <t>one year</t>
  </si>
  <si>
    <r>
      <t>Adjusted Notional (</t>
    </r>
    <r>
      <rPr>
        <b/>
        <i/>
        <sz val="12"/>
        <color theme="0"/>
        <rFont val="Aptos Narrow"/>
        <scheme val="minor"/>
      </rPr>
      <t>d</t>
    </r>
    <r>
      <rPr>
        <b/>
        <sz val="12"/>
        <color theme="0"/>
        <rFont val="Aptos Narrow"/>
        <family val="2"/>
        <scheme val="minor"/>
      </rPr>
      <t>) (</t>
    </r>
    <r>
      <rPr>
        <b/>
        <i/>
        <sz val="12"/>
        <color theme="0"/>
        <rFont val="Aptos Narrow"/>
        <scheme val="minor"/>
      </rPr>
      <t>1000's</t>
    </r>
    <r>
      <rPr>
        <b/>
        <sz val="12"/>
        <color theme="0"/>
        <rFont val="Aptos Narrow"/>
        <family val="2"/>
        <scheme val="minor"/>
      </rPr>
      <t>)</t>
    </r>
  </si>
  <si>
    <t>Sdi (Supervisory Duration)</t>
  </si>
  <si>
    <r>
      <t xml:space="preserve">Hedging Set </t>
    </r>
    <r>
      <rPr>
        <sz val="9"/>
        <color rgb="FF000000"/>
        <rFont val="Aptos Narrow"/>
        <family val="2"/>
        <scheme val="minor"/>
      </rPr>
      <t xml:space="preserve">〖AddOn" </t>
    </r>
    <r>
      <rPr>
        <vertAlign val="superscript"/>
        <sz val="9"/>
        <color rgb="FF000000"/>
        <rFont val="Aptos Narrow"/>
        <family val="2"/>
        <scheme val="minor"/>
      </rPr>
      <t>2</t>
    </r>
    <r>
      <rPr>
        <sz val="9"/>
        <color rgb="FF000000"/>
        <rFont val="Cambria Math"/>
        <family val="1"/>
      </rPr>
      <t>" =[█((Addon_TB1^IR )^2+ (Addon_TB2^IR )^2+ (Addon_TB3^IR )^2+@1.4 ⋅Addon_TB1^IR⋅Addon_TB2^IR+1.4 ⋅Addon_TB2^IR⋅Addon_TB3^IR+0.6 ⋅Addon_TB1^IR⋅Addon_TB3^IR )]</t>
    </r>
    <r>
      <rPr>
        <sz val="9"/>
        <color rgb="FF000000"/>
        <rFont val="DengXian"/>
        <family val="4"/>
        <charset val="134"/>
      </rPr>
      <t>〗^(</t>
    </r>
    <r>
      <rPr>
        <sz val="9"/>
        <color rgb="FF000000"/>
        <rFont val="Cambria Math"/>
        <family val="1"/>
      </rPr>
      <t>1/2)</t>
    </r>
  </si>
  <si>
    <t>As of Date</t>
  </si>
  <si>
    <t>Year fraction from As of Date to Maturity Date</t>
  </si>
  <si>
    <t>Same as Mi</t>
  </si>
  <si>
    <t>Look at column Y and AB</t>
  </si>
  <si>
    <t>Look at column AF</t>
  </si>
  <si>
    <t>Column S*Maturity Factor*Supervisoy Delta</t>
  </si>
  <si>
    <t>FX FWD</t>
  </si>
  <si>
    <t>EQ Call</t>
  </si>
  <si>
    <t>t (yrs)</t>
  </si>
  <si>
    <t>MTM</t>
  </si>
  <si>
    <t>Exposure</t>
  </si>
  <si>
    <t>EE(t)=N1​j=1∑N​max(MTMj​(t),0)</t>
  </si>
  <si>
    <t>EE*(tk)=max{EE∗(tk−1​),EE(tk​)}.</t>
  </si>
  <si>
    <t>S1</t>
  </si>
  <si>
    <t>S2</t>
  </si>
  <si>
    <t>S3</t>
  </si>
  <si>
    <t>Use equal steps Δt=0.25 between grid points:</t>
  </si>
  <si>
    <t>Effective EPE=∑kEE∗(tk) Δtk=0.80×(0.25+0.25+0.25+0.25)=0.80 mm</t>
  </si>
  <si>
    <t>EAD=α×Effective EPE=1.4×0.80 mm=1.12 mm</t>
  </si>
  <si>
    <t xml:space="preserve"> S1</t>
  </si>
  <si>
    <t>Supervisory α: 1.4</t>
  </si>
  <si>
    <t>Notes</t>
  </si>
  <si>
    <t>Long-dated swaption (&gt;5 yrs)</t>
  </si>
  <si>
    <t>1–5 yr maturity</t>
  </si>
  <si>
    <t>1–5 yr cap/floor</t>
  </si>
  <si>
    <t>Long-dated basis swap (&gt;5 yrs)</t>
  </si>
  <si>
    <t>1–5 yr basis swap</t>
  </si>
  <si>
    <t>1–5 yr FRA</t>
  </si>
  <si>
    <t>&gt;5 yrs FRA</t>
  </si>
  <si>
    <t>1–5 yr IRS</t>
  </si>
  <si>
    <t>Long-dated IRS</t>
  </si>
  <si>
    <t>Long-dated FRA</t>
  </si>
  <si>
    <t>&gt;5 yrs FRA (slightly over 5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</si>
</sst>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&quot;$&quot;* #,##0_);_(&quot;$&quot;* \(#,##0\);_(&quot;$&quot;* &quot;-&quot;??_);_(@_)"/>
    <numFmt numFmtId="166" formatCode="_(* #,##0_);_(* \(#,##0\);_(* &quot;-&quot;??_);_(@_)"/>
    <numFmt numFmtId="167" formatCode="_(&quot;$&quot;* #,##0.000_);_(&quot;$&quot;* \(#,##0.000\);_(&quot;$&quot;* &quot;-&quot;??_);_(@_)"/>
    <numFmt numFmtId="168" formatCode="_(* #,##0.000_);_(* \(#,##0.000\);_(* &quot;-&quot;??_);_(@_)"/>
    <numFmt numFmtId="169" formatCode="_(* #,##0.00000_);_(* \(#,##0.00000\);_(* &quot;-&quot;??_);_(@_)"/>
    <numFmt numFmtId="170" formatCode="_(&quot;$&quot;* #,##0.0000_);_(&quot;$&quot;* \(#,##0.0000\);_(&quot;$&quot;* &quot;-&quot;??_);_(@_)"/>
    <numFmt numFmtId="171" formatCode="0.0%"/>
    <numFmt numFmtId="172" formatCode="0.0"/>
  </numFmts>
  <fonts count="3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EYInterstate-Light"/>
    </font>
    <font>
      <b/>
      <vertAlign val="subscript"/>
      <sz val="12"/>
      <color theme="0"/>
      <name val="EYInterstate-Light"/>
    </font>
    <font>
      <sz val="12"/>
      <color rgb="FF000000"/>
      <name val="Arial"/>
      <family val="2"/>
    </font>
    <font>
      <sz val="12"/>
      <color theme="1"/>
      <name val="EYInterstate Light"/>
    </font>
    <font>
      <b/>
      <i/>
      <sz val="12"/>
      <color theme="0"/>
      <name val="Aptos Narrow"/>
      <scheme val="minor"/>
    </font>
    <font>
      <i/>
      <sz val="12"/>
      <color theme="0"/>
      <name val="Aptos Narrow"/>
      <scheme val="minor"/>
    </font>
    <font>
      <sz val="11"/>
      <color rgb="FF2E2E38"/>
      <name val="Cambria Math"/>
      <family val="1"/>
    </font>
    <font>
      <b/>
      <i/>
      <sz val="12"/>
      <color theme="1"/>
      <name val="EYInterstate Light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rgb="FF000000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7"/>
      <color rgb="FF000000"/>
      <name val="Helvetica"/>
      <family val="2"/>
    </font>
    <font>
      <sz val="14"/>
      <color rgb="FF2E2E38"/>
      <name val="Cambria Math"/>
      <family val="1"/>
    </font>
    <font>
      <sz val="9"/>
      <color rgb="FF000000"/>
      <name val="EYInterstate Light"/>
    </font>
    <font>
      <sz val="9"/>
      <color rgb="FF000000"/>
      <name val="Aptos Narrow"/>
      <family val="2"/>
      <scheme val="minor"/>
    </font>
    <font>
      <vertAlign val="superscript"/>
      <sz val="9"/>
      <color rgb="FF000000"/>
      <name val="Aptos Narrow"/>
      <family val="2"/>
      <scheme val="minor"/>
    </font>
    <font>
      <sz val="9"/>
      <color rgb="FF000000"/>
      <name val="Cambria Math"/>
      <family val="1"/>
    </font>
    <font>
      <sz val="9"/>
      <color rgb="FF000000"/>
      <name val="DengXian"/>
      <family val="4"/>
      <charset val="134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7" fillId="0" borderId="0">
      <alignment vertical="center"/>
    </xf>
    <xf numFmtId="44" fontId="1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4" fontId="0" fillId="0" borderId="0" xfId="0" applyNumberFormat="1"/>
    <xf numFmtId="44" fontId="0" fillId="0" borderId="0" xfId="2" applyFont="1"/>
    <xf numFmtId="0" fontId="5" fillId="0" borderId="0" xfId="0" applyFont="1" applyAlignment="1">
      <alignment horizontal="left" vertical="center" indent="12" readingOrder="1"/>
    </xf>
    <xf numFmtId="0" fontId="6" fillId="0" borderId="0" xfId="0" applyFont="1" applyAlignment="1">
      <alignment horizontal="left" vertical="center" readingOrder="1"/>
    </xf>
    <xf numFmtId="0" fontId="0" fillId="0" borderId="1" xfId="0" applyBorder="1"/>
    <xf numFmtId="44" fontId="0" fillId="0" borderId="1" xfId="2" applyFont="1" applyBorder="1"/>
    <xf numFmtId="14" fontId="0" fillId="0" borderId="1" xfId="0" applyNumberFormat="1" applyBorder="1"/>
    <xf numFmtId="6" fontId="0" fillId="0" borderId="0" xfId="0" applyNumberFormat="1"/>
    <xf numFmtId="165" fontId="0" fillId="0" borderId="0" xfId="2" applyNumberFormat="1" applyFont="1"/>
    <xf numFmtId="166" fontId="0" fillId="0" borderId="0" xfId="1" applyNumberFormat="1" applyFont="1"/>
    <xf numFmtId="0" fontId="9" fillId="0" borderId="0" xfId="0" applyFont="1"/>
    <xf numFmtId="43" fontId="0" fillId="3" borderId="0" xfId="1" applyFont="1" applyFill="1"/>
    <xf numFmtId="44" fontId="0" fillId="3" borderId="0" xfId="2" applyFont="1" applyFill="1"/>
    <xf numFmtId="43" fontId="0" fillId="3" borderId="0" xfId="1" applyFont="1" applyFill="1" applyAlignment="1">
      <alignment vertical="center"/>
    </xf>
    <xf numFmtId="165" fontId="0" fillId="3" borderId="0" xfId="2" applyNumberFormat="1" applyFont="1" applyFill="1"/>
    <xf numFmtId="9" fontId="0" fillId="3" borderId="0" xfId="0" applyNumberFormat="1" applyFill="1"/>
    <xf numFmtId="166" fontId="0" fillId="3" borderId="0" xfId="1" applyNumberFormat="1" applyFont="1" applyFill="1"/>
    <xf numFmtId="0" fontId="0" fillId="3" borderId="0" xfId="0" applyFill="1"/>
    <xf numFmtId="0" fontId="10" fillId="0" borderId="0" xfId="0" applyFont="1" applyAlignment="1">
      <alignment horizontal="left" vertical="center" indent="1" readingOrder="1"/>
    </xf>
    <xf numFmtId="44" fontId="0" fillId="3" borderId="1" xfId="0" applyNumberFormat="1" applyFill="1" applyBorder="1"/>
    <xf numFmtId="44" fontId="0" fillId="3" borderId="1" xfId="2" applyFont="1" applyFill="1" applyBorder="1"/>
    <xf numFmtId="10" fontId="0" fillId="3" borderId="1" xfId="0" applyNumberFormat="1" applyFill="1" applyBorder="1"/>
    <xf numFmtId="166" fontId="0" fillId="0" borderId="0" xfId="0" applyNumberFormat="1"/>
    <xf numFmtId="43" fontId="0" fillId="0" borderId="0" xfId="0" applyNumberFormat="1"/>
    <xf numFmtId="1" fontId="0" fillId="0" borderId="0" xfId="0" applyNumberFormat="1"/>
    <xf numFmtId="0" fontId="11" fillId="4" borderId="0" xfId="0" applyFont="1" applyFill="1"/>
    <xf numFmtId="0" fontId="11" fillId="0" borderId="2" xfId="0" applyFont="1" applyBorder="1"/>
    <xf numFmtId="0" fontId="12" fillId="0" borderId="3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6" xfId="0" applyFont="1" applyBorder="1"/>
    <xf numFmtId="0" fontId="14" fillId="5" borderId="7" xfId="3" applyFont="1" applyFill="1" applyBorder="1" applyAlignment="1">
      <alignment horizontal="center"/>
    </xf>
    <xf numFmtId="0" fontId="14" fillId="5" borderId="8" xfId="3" applyFont="1" applyFill="1" applyBorder="1" applyAlignment="1">
      <alignment horizontal="center"/>
    </xf>
    <xf numFmtId="0" fontId="14" fillId="5" borderId="8" xfId="3" applyFont="1" applyFill="1" applyBorder="1"/>
    <xf numFmtId="0" fontId="14" fillId="5" borderId="7" xfId="3" applyFont="1" applyFill="1" applyBorder="1"/>
    <xf numFmtId="0" fontId="14" fillId="5" borderId="9" xfId="3" applyFont="1" applyFill="1" applyBorder="1" applyAlignment="1">
      <alignment horizontal="center"/>
    </xf>
    <xf numFmtId="0" fontId="15" fillId="6" borderId="6" xfId="0" applyFont="1" applyFill="1" applyBorder="1"/>
    <xf numFmtId="14" fontId="16" fillId="0" borderId="10" xfId="3" applyNumberFormat="1" applyFont="1" applyBorder="1"/>
    <xf numFmtId="0" fontId="16" fillId="0" borderId="0" xfId="3" applyFont="1" applyAlignment="1">
      <alignment horizontal="center"/>
    </xf>
    <xf numFmtId="0" fontId="11" fillId="6" borderId="0" xfId="0" applyFont="1" applyFill="1"/>
    <xf numFmtId="0" fontId="16" fillId="0" borderId="0" xfId="3" applyFont="1"/>
    <xf numFmtId="14" fontId="17" fillId="6" borderId="0" xfId="5" applyNumberFormat="1" applyFill="1" applyAlignment="1"/>
    <xf numFmtId="14" fontId="16" fillId="0" borderId="0" xfId="3" applyNumberFormat="1" applyFont="1"/>
    <xf numFmtId="44" fontId="16" fillId="0" borderId="0" xfId="6" applyFont="1" applyBorder="1"/>
    <xf numFmtId="44" fontId="16" fillId="0" borderId="11" xfId="6" applyFont="1" applyBorder="1"/>
    <xf numFmtId="0" fontId="16" fillId="0" borderId="0" xfId="4" applyFont="1"/>
    <xf numFmtId="0" fontId="16" fillId="6" borderId="0" xfId="3" applyFont="1" applyFill="1" applyAlignment="1">
      <alignment horizontal="center"/>
    </xf>
    <xf numFmtId="0" fontId="16" fillId="4" borderId="0" xfId="0" applyFont="1" applyFill="1"/>
    <xf numFmtId="2" fontId="0" fillId="3" borderId="0" xfId="0" applyNumberFormat="1" applyFill="1"/>
    <xf numFmtId="43" fontId="0" fillId="3" borderId="0" xfId="0" applyNumberFormat="1" applyFill="1"/>
    <xf numFmtId="166" fontId="0" fillId="3" borderId="0" xfId="0" applyNumberFormat="1" applyFill="1"/>
    <xf numFmtId="0" fontId="18" fillId="0" borderId="0" xfId="0" applyFont="1"/>
    <xf numFmtId="169" fontId="0" fillId="3" borderId="0" xfId="1" applyNumberFormat="1" applyFont="1" applyFill="1"/>
    <xf numFmtId="3" fontId="0" fillId="0" borderId="0" xfId="0" applyNumberFormat="1"/>
    <xf numFmtId="166" fontId="0" fillId="3" borderId="0" xfId="1" applyNumberFormat="1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168" fontId="0" fillId="3" borderId="0" xfId="1" applyNumberFormat="1" applyFont="1" applyFill="1" applyAlignment="1">
      <alignment horizontal="center"/>
    </xf>
    <xf numFmtId="9" fontId="0" fillId="0" borderId="0" xfId="0" applyNumberFormat="1"/>
    <xf numFmtId="0" fontId="22" fillId="0" borderId="0" xfId="0" applyFont="1" applyAlignment="1">
      <alignment horizontal="center" vertical="center" readingOrder="1"/>
    </xf>
    <xf numFmtId="9" fontId="0" fillId="3" borderId="0" xfId="7" applyFont="1" applyFill="1"/>
    <xf numFmtId="166" fontId="0" fillId="3" borderId="0" xfId="1" applyNumberFormat="1" applyFont="1" applyFill="1" applyAlignment="1">
      <alignment vertical="center"/>
    </xf>
    <xf numFmtId="171" fontId="0" fillId="3" borderId="0" xfId="0" applyNumberFormat="1" applyFill="1"/>
    <xf numFmtId="44" fontId="0" fillId="3" borderId="0" xfId="0" applyNumberFormat="1" applyFill="1"/>
    <xf numFmtId="0" fontId="23" fillId="0" borderId="0" xfId="0" applyFont="1"/>
    <xf numFmtId="0" fontId="28" fillId="0" borderId="0" xfId="0" applyFont="1"/>
    <xf numFmtId="0" fontId="28" fillId="0" borderId="12" xfId="0" applyFont="1" applyBorder="1"/>
    <xf numFmtId="0" fontId="30" fillId="0" borderId="14" xfId="0" applyFont="1" applyBorder="1"/>
    <xf numFmtId="44" fontId="30" fillId="0" borderId="15" xfId="0" applyNumberFormat="1" applyFont="1" applyBorder="1"/>
    <xf numFmtId="43" fontId="28" fillId="0" borderId="16" xfId="0" applyNumberFormat="1" applyFont="1" applyBorder="1" applyAlignment="1">
      <alignment horizontal="left"/>
    </xf>
    <xf numFmtId="44" fontId="28" fillId="0" borderId="11" xfId="0" applyNumberFormat="1" applyFont="1" applyBorder="1" applyAlignment="1">
      <alignment horizontal="left"/>
    </xf>
    <xf numFmtId="43" fontId="28" fillId="0" borderId="14" xfId="0" applyNumberFormat="1" applyFont="1" applyBorder="1" applyAlignment="1">
      <alignment horizontal="left"/>
    </xf>
    <xf numFmtId="44" fontId="28" fillId="0" borderId="15" xfId="0" applyNumberFormat="1" applyFont="1" applyBorder="1" applyAlignment="1">
      <alignment horizontal="left"/>
    </xf>
    <xf numFmtId="0" fontId="28" fillId="0" borderId="9" xfId="0" applyFont="1" applyBorder="1"/>
    <xf numFmtId="0" fontId="30" fillId="0" borderId="15" xfId="0" applyFont="1" applyBorder="1"/>
    <xf numFmtId="0" fontId="28" fillId="0" borderId="17" xfId="0" applyFont="1" applyBorder="1"/>
    <xf numFmtId="43" fontId="28" fillId="0" borderId="16" xfId="0" applyNumberFormat="1" applyFont="1" applyBorder="1"/>
    <xf numFmtId="44" fontId="30" fillId="0" borderId="11" xfId="0" applyNumberFormat="1" applyFont="1" applyBorder="1"/>
    <xf numFmtId="43" fontId="28" fillId="0" borderId="11" xfId="0" applyNumberFormat="1" applyFont="1" applyBorder="1"/>
    <xf numFmtId="44" fontId="30" fillId="0" borderId="0" xfId="0" applyNumberFormat="1" applyFont="1"/>
    <xf numFmtId="44" fontId="28" fillId="0" borderId="0" xfId="0" applyNumberFormat="1" applyFont="1"/>
    <xf numFmtId="43" fontId="28" fillId="0" borderId="14" xfId="0" applyNumberFormat="1" applyFont="1" applyBorder="1"/>
    <xf numFmtId="43" fontId="28" fillId="0" borderId="15" xfId="0" applyNumberFormat="1" applyFont="1" applyBorder="1"/>
    <xf numFmtId="0" fontId="30" fillId="0" borderId="0" xfId="0" applyFont="1"/>
    <xf numFmtId="172" fontId="0" fillId="3" borderId="0" xfId="0" applyNumberFormat="1" applyFill="1"/>
    <xf numFmtId="4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9" fillId="0" borderId="7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166" fontId="0" fillId="3" borderId="0" xfId="1" applyNumberFormat="1" applyFont="1" applyFill="1" applyAlignment="1">
      <alignment horizontal="center"/>
    </xf>
    <xf numFmtId="43" fontId="0" fillId="3" borderId="0" xfId="1" applyFont="1" applyFill="1" applyAlignment="1">
      <alignment horizontal="center" vertical="center"/>
    </xf>
    <xf numFmtId="44" fontId="0" fillId="3" borderId="0" xfId="2" applyFont="1" applyFill="1" applyAlignment="1">
      <alignment vertical="center"/>
    </xf>
    <xf numFmtId="44" fontId="0" fillId="3" borderId="0" xfId="2" applyFont="1" applyFill="1" applyAlignment="1">
      <alignment horizontal="center" vertical="center"/>
    </xf>
    <xf numFmtId="44" fontId="0" fillId="3" borderId="0" xfId="0" applyNumberFormat="1" applyFill="1" applyAlignment="1">
      <alignment horizontal="center" vertical="center"/>
    </xf>
    <xf numFmtId="170" fontId="0" fillId="3" borderId="0" xfId="2" applyNumberFormat="1" applyFont="1" applyFill="1" applyAlignment="1">
      <alignment horizontal="center" vertical="center"/>
    </xf>
    <xf numFmtId="167" fontId="0" fillId="3" borderId="0" xfId="2" applyNumberFormat="1" applyFont="1" applyFill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/>
    </xf>
  </cellXfs>
  <cellStyles count="8">
    <cellStyle name="Comma" xfId="1" builtinId="3"/>
    <cellStyle name="Currency" xfId="2" builtinId="4"/>
    <cellStyle name="Currency 2" xfId="6" xr:uid="{D50C5BF4-A677-074D-887E-3C694857CB46}"/>
    <cellStyle name="Normal" xfId="0" builtinId="0"/>
    <cellStyle name="Normal 2" xfId="5" xr:uid="{7DDF4204-A764-0148-B0A2-9AA750E6D4D0}"/>
    <cellStyle name="Normal 4" xfId="3" xr:uid="{35DCE8C9-4C92-7B49-8AA7-5A56909AFCAE}"/>
    <cellStyle name="Normal 7" xfId="4" xr:uid="{114B969D-F126-2E46-A5BD-ACD4CDD87F5F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18.png"/><Relationship Id="rId5" Type="http://schemas.openxmlformats.org/officeDocument/2006/relationships/image" Target="../media/image10.png"/><Relationship Id="rId10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75075</xdr:colOff>
      <xdr:row>17</xdr:row>
      <xdr:rowOff>37941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9155575" cy="3289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1016000</xdr:colOff>
      <xdr:row>15</xdr:row>
      <xdr:rowOff>190500</xdr:rowOff>
    </xdr:from>
    <xdr:to>
      <xdr:col>17</xdr:col>
      <xdr:colOff>508000</xdr:colOff>
      <xdr:row>17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0" y="3695700"/>
          <a:ext cx="2540000" cy="33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876300</xdr:colOff>
      <xdr:row>14</xdr:row>
      <xdr:rowOff>190500</xdr:rowOff>
    </xdr:from>
    <xdr:to>
      <xdr:col>17</xdr:col>
      <xdr:colOff>469900</xdr:colOff>
      <xdr:row>16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3100" y="3492500"/>
          <a:ext cx="3556000" cy="33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15</xdr:col>
      <xdr:colOff>838200</xdr:colOff>
      <xdr:row>15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66800" y="3302000"/>
          <a:ext cx="2819400" cy="3302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1041400</xdr:colOff>
      <xdr:row>12</xdr:row>
      <xdr:rowOff>139700</xdr:rowOff>
    </xdr:from>
    <xdr:to>
      <xdr:col>15</xdr:col>
      <xdr:colOff>139700</xdr:colOff>
      <xdr:row>14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74600" y="3035300"/>
          <a:ext cx="3213100" cy="330200"/>
        </a:xfrm>
        <a:prstGeom prst="rect">
          <a:avLst/>
        </a:prstGeom>
      </xdr:spPr>
    </xdr:pic>
    <xdr:clientData/>
  </xdr:twoCellAnchor>
  <xdr:twoCellAnchor editAs="oneCell">
    <xdr:from>
      <xdr:col>9</xdr:col>
      <xdr:colOff>1092200</xdr:colOff>
      <xdr:row>10</xdr:row>
      <xdr:rowOff>152400</xdr:rowOff>
    </xdr:from>
    <xdr:to>
      <xdr:col>11</xdr:col>
      <xdr:colOff>88900</xdr:colOff>
      <xdr:row>12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41000" y="2641600"/>
          <a:ext cx="1181100" cy="330200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11</xdr:row>
      <xdr:rowOff>12700</xdr:rowOff>
    </xdr:from>
    <xdr:to>
      <xdr:col>10</xdr:col>
      <xdr:colOff>76200</xdr:colOff>
      <xdr:row>12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58200" y="2705100"/>
          <a:ext cx="1270000" cy="330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15</xdr:col>
      <xdr:colOff>113175</xdr:colOff>
      <xdr:row>34</xdr:row>
      <xdr:rowOff>37941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91200" y="4114800"/>
          <a:ext cx="9155575" cy="3289141"/>
        </a:xfrm>
        <a:prstGeom prst="rect">
          <a:avLst/>
        </a:prstGeom>
      </xdr:spPr>
    </xdr:pic>
    <xdr:clientData/>
  </xdr:twoCellAnchor>
  <xdr:twoCellAnchor>
    <xdr:from>
      <xdr:col>9</xdr:col>
      <xdr:colOff>469900</xdr:colOff>
      <xdr:row>9</xdr:row>
      <xdr:rowOff>38100</xdr:rowOff>
    </xdr:from>
    <xdr:to>
      <xdr:col>9</xdr:col>
      <xdr:colOff>469900</xdr:colOff>
      <xdr:row>11</xdr:row>
      <xdr:rowOff>88900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9004300" y="2324100"/>
          <a:ext cx="0" cy="4572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431800</xdr:colOff>
      <xdr:row>8</xdr:row>
      <xdr:rowOff>177800</xdr:rowOff>
    </xdr:from>
    <xdr:to>
      <xdr:col>10</xdr:col>
      <xdr:colOff>431800</xdr:colOff>
      <xdr:row>11</xdr:row>
      <xdr:rowOff>25400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0083800" y="2260600"/>
          <a:ext cx="0" cy="4572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482600</xdr:colOff>
      <xdr:row>9</xdr:row>
      <xdr:rowOff>165100</xdr:rowOff>
    </xdr:from>
    <xdr:to>
      <xdr:col>11</xdr:col>
      <xdr:colOff>482600</xdr:colOff>
      <xdr:row>12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11201400" y="2451100"/>
          <a:ext cx="0" cy="4572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482600</xdr:colOff>
      <xdr:row>9</xdr:row>
      <xdr:rowOff>177800</xdr:rowOff>
    </xdr:from>
    <xdr:to>
      <xdr:col>12</xdr:col>
      <xdr:colOff>520700</xdr:colOff>
      <xdr:row>13</xdr:row>
      <xdr:rowOff>63500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2268200" y="2463800"/>
          <a:ext cx="38100" cy="6985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9</xdr:row>
      <xdr:rowOff>165100</xdr:rowOff>
    </xdr:from>
    <xdr:to>
      <xdr:col>13</xdr:col>
      <xdr:colOff>495300</xdr:colOff>
      <xdr:row>14</xdr:row>
      <xdr:rowOff>88900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3271500" y="2451100"/>
          <a:ext cx="76200" cy="9398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469900</xdr:colOff>
      <xdr:row>9</xdr:row>
      <xdr:rowOff>165100</xdr:rowOff>
    </xdr:from>
    <xdr:to>
      <xdr:col>14</xdr:col>
      <xdr:colOff>774700</xdr:colOff>
      <xdr:row>15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236700" y="2451100"/>
          <a:ext cx="304800" cy="12065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444500</xdr:colOff>
      <xdr:row>9</xdr:row>
      <xdr:rowOff>177800</xdr:rowOff>
    </xdr:from>
    <xdr:to>
      <xdr:col>15</xdr:col>
      <xdr:colOff>508000</xdr:colOff>
      <xdr:row>16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5278100" y="2463800"/>
          <a:ext cx="63500" cy="13462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7</xdr:row>
      <xdr:rowOff>63500</xdr:rowOff>
    </xdr:from>
    <xdr:to>
      <xdr:col>8</xdr:col>
      <xdr:colOff>393700</xdr:colOff>
      <xdr:row>26</xdr:row>
      <xdr:rowOff>165100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6096000" y="1943100"/>
          <a:ext cx="1917700" cy="3962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774700</xdr:colOff>
      <xdr:row>8</xdr:row>
      <xdr:rowOff>190500</xdr:rowOff>
    </xdr:from>
    <xdr:to>
      <xdr:col>9</xdr:col>
      <xdr:colOff>584200</xdr:colOff>
      <xdr:row>26</xdr:row>
      <xdr:rowOff>114300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6565900" y="2273300"/>
          <a:ext cx="2552700" cy="3581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749300</xdr:colOff>
      <xdr:row>19</xdr:row>
      <xdr:rowOff>63499</xdr:rowOff>
    </xdr:from>
    <xdr:to>
      <xdr:col>19</xdr:col>
      <xdr:colOff>76200</xdr:colOff>
      <xdr:row>22</xdr:row>
      <xdr:rowOff>84666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87B3EC-855F-814D-8C41-852FA324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4100" y="4610099"/>
          <a:ext cx="1143000" cy="6561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27</xdr:col>
      <xdr:colOff>431800</xdr:colOff>
      <xdr:row>55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15D5E1-8446-2940-B145-233CB79F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4400" y="4521200"/>
          <a:ext cx="7391400" cy="63627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76200</xdr:rowOff>
    </xdr:from>
    <xdr:to>
      <xdr:col>22</xdr:col>
      <xdr:colOff>279400</xdr:colOff>
      <xdr:row>14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0C87F6-C11A-8741-AAA0-82E5F50D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83100" y="2362200"/>
          <a:ext cx="1460500" cy="228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190500</xdr:rowOff>
    </xdr:from>
    <xdr:to>
      <xdr:col>25</xdr:col>
      <xdr:colOff>673100</xdr:colOff>
      <xdr:row>15</xdr:row>
      <xdr:rowOff>177800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548AAA-707C-7048-A856-DC1F628EA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13800" y="2476500"/>
          <a:ext cx="2565400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26</xdr:col>
      <xdr:colOff>317500</xdr:colOff>
      <xdr:row>17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3A74CC-C102-7242-BCA0-CB0BC2271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04700" y="2895600"/>
          <a:ext cx="2286000" cy="215900"/>
        </a:xfrm>
        <a:prstGeom prst="rect">
          <a:avLst/>
        </a:prstGeom>
      </xdr:spPr>
    </xdr:pic>
    <xdr:clientData/>
  </xdr:twoCellAnchor>
  <xdr:twoCellAnchor>
    <xdr:from>
      <xdr:col>15</xdr:col>
      <xdr:colOff>609600</xdr:colOff>
      <xdr:row>7</xdr:row>
      <xdr:rowOff>0</xdr:rowOff>
    </xdr:from>
    <xdr:to>
      <xdr:col>17</xdr:col>
      <xdr:colOff>546100</xdr:colOff>
      <xdr:row>12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3D53477-007A-8D48-A3C0-A5FB0AD38DEC}"/>
            </a:ext>
          </a:extLst>
        </xdr:cNvPr>
        <xdr:cNvCxnSpPr/>
      </xdr:nvCxnSpPr>
      <xdr:spPr>
        <a:xfrm flipH="1">
          <a:off x="15290800" y="2082800"/>
          <a:ext cx="2070100" cy="1041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698500</xdr:colOff>
      <xdr:row>5</xdr:row>
      <xdr:rowOff>152400</xdr:rowOff>
    </xdr:from>
    <xdr:to>
      <xdr:col>26</xdr:col>
      <xdr:colOff>127000</xdr:colOff>
      <xdr:row>28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08361F9-E0D6-FE44-93B7-6084826A9F98}"/>
            </a:ext>
          </a:extLst>
        </xdr:cNvPr>
        <xdr:cNvCxnSpPr/>
      </xdr:nvCxnSpPr>
      <xdr:spPr>
        <a:xfrm>
          <a:off x="20320000" y="1828800"/>
          <a:ext cx="5346700" cy="45720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901700</xdr:colOff>
      <xdr:row>6</xdr:row>
      <xdr:rowOff>177800</xdr:rowOff>
    </xdr:from>
    <xdr:to>
      <xdr:col>23</xdr:col>
      <xdr:colOff>787400</xdr:colOff>
      <xdr:row>28</xdr:row>
      <xdr:rowOff>63500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0DF9AC0-E937-0745-82C6-5C10948646E8}"/>
            </a:ext>
          </a:extLst>
        </xdr:cNvPr>
        <xdr:cNvCxnSpPr/>
      </xdr:nvCxnSpPr>
      <xdr:spPr>
        <a:xfrm>
          <a:off x="16649700" y="2057400"/>
          <a:ext cx="6769100" cy="44069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355600</xdr:colOff>
      <xdr:row>4</xdr:row>
      <xdr:rowOff>165100</xdr:rowOff>
    </xdr:from>
    <xdr:to>
      <xdr:col>21</xdr:col>
      <xdr:colOff>368300</xdr:colOff>
      <xdr:row>13</xdr:row>
      <xdr:rowOff>88900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CEAA51F-3C2C-5445-800E-9BAB9302C1EF}"/>
            </a:ext>
          </a:extLst>
        </xdr:cNvPr>
        <xdr:cNvCxnSpPr/>
      </xdr:nvCxnSpPr>
      <xdr:spPr>
        <a:xfrm>
          <a:off x="17538700" y="1638300"/>
          <a:ext cx="12700" cy="7366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0</xdr:colOff>
      <xdr:row>12</xdr:row>
      <xdr:rowOff>0</xdr:rowOff>
    </xdr:from>
    <xdr:to>
      <xdr:col>28</xdr:col>
      <xdr:colOff>431800</xdr:colOff>
      <xdr:row>13</xdr:row>
      <xdr:rowOff>50800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D05E736-F372-914C-B581-409E3017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62200" y="2082800"/>
          <a:ext cx="3314700" cy="254000"/>
        </a:xfrm>
        <a:prstGeom prst="rect">
          <a:avLst/>
        </a:prstGeom>
      </xdr:spPr>
    </xdr:pic>
    <xdr:clientData/>
  </xdr:twoCellAnchor>
  <xdr:twoCellAnchor editAs="oneCell">
    <xdr:from>
      <xdr:col>25</xdr:col>
      <xdr:colOff>63500</xdr:colOff>
      <xdr:row>18</xdr:row>
      <xdr:rowOff>88900</xdr:rowOff>
    </xdr:from>
    <xdr:to>
      <xdr:col>26</xdr:col>
      <xdr:colOff>292100</xdr:colOff>
      <xdr:row>19</xdr:row>
      <xdr:rowOff>50800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77AA6D6-CCE1-7542-B42E-BD4163B8A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87200" y="4432300"/>
          <a:ext cx="1244600" cy="165100"/>
        </a:xfrm>
        <a:prstGeom prst="rect">
          <a:avLst/>
        </a:prstGeom>
      </xdr:spPr>
    </xdr:pic>
    <xdr:clientData/>
  </xdr:twoCellAnchor>
  <xdr:twoCellAnchor>
    <xdr:from>
      <xdr:col>25</xdr:col>
      <xdr:colOff>495300</xdr:colOff>
      <xdr:row>6</xdr:row>
      <xdr:rowOff>12700</xdr:rowOff>
    </xdr:from>
    <xdr:to>
      <xdr:col>25</xdr:col>
      <xdr:colOff>546100</xdr:colOff>
      <xdr:row>18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2A96435-EAA0-0145-833C-F1641F257BA5}"/>
            </a:ext>
          </a:extLst>
        </xdr:cNvPr>
        <xdr:cNvCxnSpPr/>
      </xdr:nvCxnSpPr>
      <xdr:spPr>
        <a:xfrm>
          <a:off x="25019000" y="1892300"/>
          <a:ext cx="50800" cy="25273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533400</xdr:colOff>
      <xdr:row>5</xdr:row>
      <xdr:rowOff>0</xdr:rowOff>
    </xdr:from>
    <xdr:to>
      <xdr:col>23</xdr:col>
      <xdr:colOff>558800</xdr:colOff>
      <xdr:row>14</xdr:row>
      <xdr:rowOff>101600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C3F4578-60AE-594F-A481-E5AAA24FC9B2}"/>
            </a:ext>
          </a:extLst>
        </xdr:cNvPr>
        <xdr:cNvCxnSpPr/>
      </xdr:nvCxnSpPr>
      <xdr:spPr>
        <a:xfrm>
          <a:off x="22847300" y="1676400"/>
          <a:ext cx="25400" cy="914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241300</xdr:colOff>
      <xdr:row>6</xdr:row>
      <xdr:rowOff>152400</xdr:rowOff>
    </xdr:from>
    <xdr:to>
      <xdr:col>14</xdr:col>
      <xdr:colOff>203200</xdr:colOff>
      <xdr:row>19</xdr:row>
      <xdr:rowOff>50800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0A725EA-DAF4-1940-AD8B-A01272876F9B}"/>
            </a:ext>
          </a:extLst>
        </xdr:cNvPr>
        <xdr:cNvCxnSpPr/>
      </xdr:nvCxnSpPr>
      <xdr:spPr>
        <a:xfrm flipH="1">
          <a:off x="10807700" y="2032000"/>
          <a:ext cx="1193800" cy="25400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19</xdr:row>
      <xdr:rowOff>0</xdr:rowOff>
    </xdr:from>
    <xdr:to>
      <xdr:col>16</xdr:col>
      <xdr:colOff>488950</xdr:colOff>
      <xdr:row>22</xdr:row>
      <xdr:rowOff>126025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9F6EED-7B3F-D98B-1ECF-F888545FB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0227"/>
        <a:stretch/>
      </xdr:blipFill>
      <xdr:spPr>
        <a:xfrm>
          <a:off x="10566400" y="4521200"/>
          <a:ext cx="4019550" cy="761025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  <xdr:twoCellAnchor>
    <xdr:from>
      <xdr:col>18</xdr:col>
      <xdr:colOff>381000</xdr:colOff>
      <xdr:row>6</xdr:row>
      <xdr:rowOff>152400</xdr:rowOff>
    </xdr:from>
    <xdr:to>
      <xdr:col>18</xdr:col>
      <xdr:colOff>647700</xdr:colOff>
      <xdr:row>17</xdr:row>
      <xdr:rowOff>127000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FF8C1DA-1EDD-D148-A92B-60F94C98E8D9}"/>
            </a:ext>
          </a:extLst>
        </xdr:cNvPr>
        <xdr:cNvCxnSpPr/>
      </xdr:nvCxnSpPr>
      <xdr:spPr>
        <a:xfrm flipH="1">
          <a:off x="18021300" y="2032000"/>
          <a:ext cx="266700" cy="22352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571500</xdr:colOff>
      <xdr:row>6</xdr:row>
      <xdr:rowOff>88900</xdr:rowOff>
    </xdr:from>
    <xdr:to>
      <xdr:col>24</xdr:col>
      <xdr:colOff>596900</xdr:colOff>
      <xdr:row>15</xdr:row>
      <xdr:rowOff>165100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A15973C-E14D-8344-98A6-2AC37AEC8ED1}"/>
            </a:ext>
          </a:extLst>
        </xdr:cNvPr>
        <xdr:cNvCxnSpPr/>
      </xdr:nvCxnSpPr>
      <xdr:spPr>
        <a:xfrm>
          <a:off x="24142700" y="1968500"/>
          <a:ext cx="25400" cy="1930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5</xdr:row>
      <xdr:rowOff>25400</xdr:rowOff>
    </xdr:from>
    <xdr:to>
      <xdr:col>22</xdr:col>
      <xdr:colOff>457200</xdr:colOff>
      <xdr:row>20</xdr:row>
      <xdr:rowOff>12700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297B017-1DB1-044D-843F-D8A2BA3A2C41}"/>
            </a:ext>
          </a:extLst>
        </xdr:cNvPr>
        <xdr:cNvCxnSpPr/>
      </xdr:nvCxnSpPr>
      <xdr:spPr>
        <a:xfrm flipH="1">
          <a:off x="21780500" y="1701800"/>
          <a:ext cx="304800" cy="30861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787400</xdr:colOff>
      <xdr:row>7</xdr:row>
      <xdr:rowOff>0</xdr:rowOff>
    </xdr:from>
    <xdr:to>
      <xdr:col>13</xdr:col>
      <xdr:colOff>787400</xdr:colOff>
      <xdr:row>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4700" y="2082800"/>
          <a:ext cx="2476500" cy="571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444500</xdr:colOff>
      <xdr:row>12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8300" y="2692400"/>
          <a:ext cx="1270000" cy="558800"/>
        </a:xfrm>
        <a:prstGeom prst="rect">
          <a:avLst/>
        </a:prstGeom>
      </xdr:spPr>
    </xdr:pic>
    <xdr:clientData/>
  </xdr:twoCellAnchor>
  <xdr:twoCellAnchor editAs="oneCell">
    <xdr:from>
      <xdr:col>11</xdr:col>
      <xdr:colOff>800100</xdr:colOff>
      <xdr:row>13</xdr:row>
      <xdr:rowOff>25399</xdr:rowOff>
    </xdr:from>
    <xdr:to>
      <xdr:col>13</xdr:col>
      <xdr:colOff>292100</xdr:colOff>
      <xdr:row>16</xdr:row>
      <xdr:rowOff>71966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02900" y="3327399"/>
          <a:ext cx="1143000" cy="65616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254000</xdr:colOff>
      <xdr:row>50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53800" y="4521200"/>
          <a:ext cx="7391400" cy="6362700"/>
        </a:xfrm>
        <a:prstGeom prst="rect">
          <a:avLst/>
        </a:prstGeom>
      </xdr:spPr>
    </xdr:pic>
    <xdr:clientData/>
  </xdr:twoCellAnchor>
  <xdr:twoCellAnchor editAs="oneCell">
    <xdr:from>
      <xdr:col>19</xdr:col>
      <xdr:colOff>736600</xdr:colOff>
      <xdr:row>8</xdr:row>
      <xdr:rowOff>76200</xdr:rowOff>
    </xdr:from>
    <xdr:to>
      <xdr:col>21</xdr:col>
      <xdr:colOff>279400</xdr:colOff>
      <xdr:row>9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89500" y="2362200"/>
          <a:ext cx="1460500" cy="228600"/>
        </a:xfrm>
        <a:prstGeom prst="rect">
          <a:avLst/>
        </a:prstGeom>
      </xdr:spPr>
    </xdr:pic>
    <xdr:clientData/>
  </xdr:twoCellAnchor>
  <xdr:twoCellAnchor editAs="oneCell">
    <xdr:from>
      <xdr:col>21</xdr:col>
      <xdr:colOff>977900</xdr:colOff>
      <xdr:row>6</xdr:row>
      <xdr:rowOff>152400</xdr:rowOff>
    </xdr:from>
    <xdr:to>
      <xdr:col>25</xdr:col>
      <xdr:colOff>254000</xdr:colOff>
      <xdr:row>10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42100" y="2032000"/>
          <a:ext cx="3225800" cy="812800"/>
        </a:xfrm>
        <a:prstGeom prst="rect">
          <a:avLst/>
        </a:prstGeom>
      </xdr:spPr>
    </xdr:pic>
    <xdr:clientData/>
  </xdr:twoCellAnchor>
  <xdr:twoCellAnchor editAs="oneCell">
    <xdr:from>
      <xdr:col>24</xdr:col>
      <xdr:colOff>25400</xdr:colOff>
      <xdr:row>8</xdr:row>
      <xdr:rowOff>190500</xdr:rowOff>
    </xdr:from>
    <xdr:to>
      <xdr:col>27</xdr:col>
      <xdr:colOff>0</xdr:colOff>
      <xdr:row>11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19800" y="2476500"/>
          <a:ext cx="2565400" cy="41910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30</xdr:col>
      <xdr:colOff>381000</xdr:colOff>
      <xdr:row>12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70900" y="2895600"/>
          <a:ext cx="2286000" cy="215900"/>
        </a:xfrm>
        <a:prstGeom prst="rect">
          <a:avLst/>
        </a:prstGeom>
      </xdr:spPr>
    </xdr:pic>
    <xdr:clientData/>
  </xdr:twoCellAnchor>
  <xdr:twoCellAnchor>
    <xdr:from>
      <xdr:col>11</xdr:col>
      <xdr:colOff>342900</xdr:colOff>
      <xdr:row>4</xdr:row>
      <xdr:rowOff>190500</xdr:rowOff>
    </xdr:from>
    <xdr:to>
      <xdr:col>11</xdr:col>
      <xdr:colOff>342900</xdr:colOff>
      <xdr:row>7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10045700" y="1663700"/>
          <a:ext cx="0" cy="5969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520700</xdr:colOff>
      <xdr:row>4</xdr:row>
      <xdr:rowOff>139700</xdr:rowOff>
    </xdr:from>
    <xdr:to>
      <xdr:col>12</xdr:col>
      <xdr:colOff>520700</xdr:colOff>
      <xdr:row>10</xdr:row>
      <xdr:rowOff>25400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11049000" y="1612900"/>
          <a:ext cx="0" cy="11049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698500</xdr:colOff>
      <xdr:row>5</xdr:row>
      <xdr:rowOff>152400</xdr:rowOff>
    </xdr:from>
    <xdr:to>
      <xdr:col>20</xdr:col>
      <xdr:colOff>736600</xdr:colOff>
      <xdr:row>41</xdr:row>
      <xdr:rowOff>63500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12052300" y="1828800"/>
          <a:ext cx="5372100" cy="72263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660400</xdr:colOff>
      <xdr:row>5</xdr:row>
      <xdr:rowOff>25400</xdr:rowOff>
    </xdr:from>
    <xdr:to>
      <xdr:col>19</xdr:col>
      <xdr:colOff>596900</xdr:colOff>
      <xdr:row>41</xdr:row>
      <xdr:rowOff>63500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12839700" y="1701800"/>
          <a:ext cx="3619500" cy="73533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812800</xdr:colOff>
      <xdr:row>5</xdr:row>
      <xdr:rowOff>12700</xdr:rowOff>
    </xdr:from>
    <xdr:to>
      <xdr:col>18</xdr:col>
      <xdr:colOff>228600</xdr:colOff>
      <xdr:row>41</xdr:row>
      <xdr:rowOff>88900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13817600" y="1689100"/>
          <a:ext cx="1320800" cy="7391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5</xdr:row>
      <xdr:rowOff>38100</xdr:rowOff>
    </xdr:from>
    <xdr:to>
      <xdr:col>17</xdr:col>
      <xdr:colOff>800100</xdr:colOff>
      <xdr:row>17</xdr:row>
      <xdr:rowOff>25400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>
          <a:off x="12712700" y="1714500"/>
          <a:ext cx="2044700" cy="24257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355600</xdr:colOff>
      <xdr:row>4</xdr:row>
      <xdr:rowOff>165100</xdr:rowOff>
    </xdr:from>
    <xdr:to>
      <xdr:col>20</xdr:col>
      <xdr:colOff>368300</xdr:colOff>
      <xdr:row>8</xdr:row>
      <xdr:rowOff>88900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18034000" y="1638300"/>
          <a:ext cx="12700" cy="7366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558800</xdr:colOff>
      <xdr:row>5</xdr:row>
      <xdr:rowOff>12700</xdr:rowOff>
    </xdr:from>
    <xdr:to>
      <xdr:col>22</xdr:col>
      <xdr:colOff>584200</xdr:colOff>
      <xdr:row>8</xdr:row>
      <xdr:rowOff>76200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18249900" y="1689100"/>
          <a:ext cx="25400" cy="6731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520700</xdr:colOff>
      <xdr:row>5</xdr:row>
      <xdr:rowOff>25400</xdr:rowOff>
    </xdr:from>
    <xdr:to>
      <xdr:col>24</xdr:col>
      <xdr:colOff>571500</xdr:colOff>
      <xdr:row>9</xdr:row>
      <xdr:rowOff>127000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19215100" y="1701800"/>
          <a:ext cx="50800" cy="914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533400</xdr:colOff>
      <xdr:row>5</xdr:row>
      <xdr:rowOff>127000</xdr:rowOff>
    </xdr:from>
    <xdr:to>
      <xdr:col>28</xdr:col>
      <xdr:colOff>584200</xdr:colOff>
      <xdr:row>11</xdr:row>
      <xdr:rowOff>25400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1704300" y="1803400"/>
          <a:ext cx="50800" cy="11176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393700</xdr:colOff>
      <xdr:row>4</xdr:row>
      <xdr:rowOff>177800</xdr:rowOff>
    </xdr:from>
    <xdr:to>
      <xdr:col>30</xdr:col>
      <xdr:colOff>419100</xdr:colOff>
      <xdr:row>8</xdr:row>
      <xdr:rowOff>38100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22517100" y="1651000"/>
          <a:ext cx="25400" cy="6731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0</xdr:colOff>
      <xdr:row>7</xdr:row>
      <xdr:rowOff>0</xdr:rowOff>
    </xdr:from>
    <xdr:to>
      <xdr:col>34</xdr:col>
      <xdr:colOff>304800</xdr:colOff>
      <xdr:row>8</xdr:row>
      <xdr:rowOff>50800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948900" y="2082800"/>
          <a:ext cx="3314700" cy="254000"/>
        </a:xfrm>
        <a:prstGeom prst="rect">
          <a:avLst/>
        </a:prstGeom>
      </xdr:spPr>
    </xdr:pic>
    <xdr:clientData/>
  </xdr:twoCellAnchor>
  <xdr:twoCellAnchor>
    <xdr:from>
      <xdr:col>31</xdr:col>
      <xdr:colOff>139700</xdr:colOff>
      <xdr:row>4</xdr:row>
      <xdr:rowOff>177800</xdr:rowOff>
    </xdr:from>
    <xdr:to>
      <xdr:col>31</xdr:col>
      <xdr:colOff>152400</xdr:colOff>
      <xdr:row>7</xdr:row>
      <xdr:rowOff>101600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>
          <a:off x="27901900" y="1651000"/>
          <a:ext cx="12700" cy="533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228600</xdr:colOff>
      <xdr:row>10</xdr:row>
      <xdr:rowOff>165100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901400" y="2692400"/>
          <a:ext cx="1244600" cy="165100"/>
        </a:xfrm>
        <a:prstGeom prst="rect">
          <a:avLst/>
        </a:prstGeom>
      </xdr:spPr>
    </xdr:pic>
    <xdr:clientData/>
  </xdr:twoCellAnchor>
  <xdr:twoCellAnchor>
    <xdr:from>
      <xdr:col>32</xdr:col>
      <xdr:colOff>495300</xdr:colOff>
      <xdr:row>6</xdr:row>
      <xdr:rowOff>12700</xdr:rowOff>
    </xdr:from>
    <xdr:to>
      <xdr:col>32</xdr:col>
      <xdr:colOff>508000</xdr:colOff>
      <xdr:row>10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24396700" y="1892300"/>
          <a:ext cx="12700" cy="8001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533400</xdr:colOff>
      <xdr:row>5</xdr:row>
      <xdr:rowOff>0</xdr:rowOff>
    </xdr:from>
    <xdr:to>
      <xdr:col>25</xdr:col>
      <xdr:colOff>558800</xdr:colOff>
      <xdr:row>9</xdr:row>
      <xdr:rowOff>101600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>
          <a:off x="20053300" y="1676400"/>
          <a:ext cx="25400" cy="914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5</xdr:row>
      <xdr:rowOff>0</xdr:rowOff>
    </xdr:from>
    <xdr:to>
      <xdr:col>9</xdr:col>
      <xdr:colOff>114300</xdr:colOff>
      <xdr:row>14</xdr:row>
      <xdr:rowOff>190500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52782A2-4A99-AA4D-BE9A-0E017F19A2F4}"/>
            </a:ext>
          </a:extLst>
        </xdr:cNvPr>
        <xdr:cNvCxnSpPr/>
      </xdr:nvCxnSpPr>
      <xdr:spPr>
        <a:xfrm flipH="1">
          <a:off x="4495800" y="1676400"/>
          <a:ext cx="3429000" cy="20193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787400</xdr:colOff>
      <xdr:row>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391400" cy="636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AB75-A06D-5B4D-B0A5-C683D2E81111}">
  <dimension ref="A1"/>
  <sheetViews>
    <sheetView workbookViewId="0">
      <selection activeCell="E32" sqref="E32"/>
    </sheetView>
  </sheetViews>
  <sheetFormatPr defaultColWidth="11.19921875" defaultRowHeight="15.6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1CA6-3B6A-3047-A3ED-5230F09113E5}">
  <dimension ref="B3:P13"/>
  <sheetViews>
    <sheetView topLeftCell="A21" workbookViewId="0">
      <selection activeCell="P8" sqref="P8:P10"/>
    </sheetView>
  </sheetViews>
  <sheetFormatPr defaultColWidth="12" defaultRowHeight="15.6"/>
  <cols>
    <col min="6" max="6" width="16" bestFit="1" customWidth="1"/>
    <col min="10" max="10" width="14.69921875" bestFit="1" customWidth="1"/>
    <col min="11" max="13" width="14" bestFit="1" customWidth="1"/>
    <col min="15" max="16" width="14" bestFit="1" customWidth="1"/>
  </cols>
  <sheetData>
    <row r="3" spans="2:16">
      <c r="B3" t="s">
        <v>19</v>
      </c>
    </row>
    <row r="4" spans="2:16">
      <c r="B4" t="s">
        <v>20</v>
      </c>
    </row>
    <row r="5" spans="2:16">
      <c r="B5" t="s">
        <v>21</v>
      </c>
    </row>
    <row r="7" spans="2:16" ht="48">
      <c r="B7" s="1" t="s">
        <v>0</v>
      </c>
      <c r="C7" s="1" t="s">
        <v>1</v>
      </c>
      <c r="D7" s="1" t="s">
        <v>2</v>
      </c>
      <c r="E7" s="1" t="s">
        <v>3</v>
      </c>
      <c r="F7" s="1" t="s">
        <v>15</v>
      </c>
      <c r="G7" s="1" t="s">
        <v>4</v>
      </c>
      <c r="H7" s="1" t="s">
        <v>5</v>
      </c>
      <c r="I7" s="1" t="s">
        <v>6</v>
      </c>
      <c r="J7" s="1" t="s">
        <v>16</v>
      </c>
      <c r="K7" s="1" t="s">
        <v>7</v>
      </c>
      <c r="L7" s="1" t="s">
        <v>8</v>
      </c>
      <c r="M7" s="2" t="s">
        <v>12</v>
      </c>
      <c r="N7" s="1" t="s">
        <v>9</v>
      </c>
      <c r="O7" s="1" t="s">
        <v>10</v>
      </c>
      <c r="P7" s="1" t="s">
        <v>11</v>
      </c>
    </row>
    <row r="8" spans="2:16">
      <c r="B8" s="7">
        <v>1</v>
      </c>
      <c r="C8" s="7" t="s">
        <v>13</v>
      </c>
      <c r="D8" s="7">
        <v>9999</v>
      </c>
      <c r="E8" s="7" t="s">
        <v>14</v>
      </c>
      <c r="F8" s="8">
        <v>50000000</v>
      </c>
      <c r="G8" s="24">
        <v>1.4999999999999999E-2</v>
      </c>
      <c r="H8" s="9">
        <v>49658</v>
      </c>
      <c r="I8" s="7">
        <v>10</v>
      </c>
      <c r="J8" s="8">
        <v>-3700000</v>
      </c>
      <c r="K8" s="23">
        <f>MAX(0,J8)</f>
        <v>0</v>
      </c>
      <c r="L8" s="22">
        <f>F8*G8</f>
        <v>750000</v>
      </c>
      <c r="M8" s="92">
        <f>L10</f>
        <v>3000000</v>
      </c>
      <c r="N8" s="94">
        <f>J10/K10</f>
        <v>0.27450980392156865</v>
      </c>
      <c r="O8" s="92">
        <f>0.4*M8+0.6*N8*M8</f>
        <v>1694117.6470588236</v>
      </c>
      <c r="P8" s="92">
        <f>J10+O8</f>
        <v>3094117.6470588236</v>
      </c>
    </row>
    <row r="9" spans="2:16">
      <c r="B9" s="7">
        <v>2</v>
      </c>
      <c r="C9" s="7" t="s">
        <v>13</v>
      </c>
      <c r="D9" s="7">
        <v>9999</v>
      </c>
      <c r="E9" s="7" t="s">
        <v>17</v>
      </c>
      <c r="F9" s="8">
        <v>30000000</v>
      </c>
      <c r="G9" s="24">
        <v>7.4999999999999997E-2</v>
      </c>
      <c r="H9" s="9">
        <v>47848</v>
      </c>
      <c r="I9" s="7">
        <v>5</v>
      </c>
      <c r="J9" s="8">
        <v>5100000</v>
      </c>
      <c r="K9" s="23">
        <f>MAX(0,J9)</f>
        <v>5100000</v>
      </c>
      <c r="L9" s="22">
        <f>F9*G9</f>
        <v>2250000</v>
      </c>
      <c r="M9" s="93"/>
      <c r="N9" s="94"/>
      <c r="O9" s="93"/>
      <c r="P9" s="93"/>
    </row>
    <row r="10" spans="2:16">
      <c r="B10" s="7"/>
      <c r="C10" s="7"/>
      <c r="D10" s="7"/>
      <c r="E10" s="7"/>
      <c r="F10" s="7"/>
      <c r="G10" s="7"/>
      <c r="H10" s="7"/>
      <c r="I10" s="7"/>
      <c r="J10" s="22">
        <f>J8+J9</f>
        <v>1400000</v>
      </c>
      <c r="K10" s="23">
        <f>SUM(K8:K9)</f>
        <v>5100000</v>
      </c>
      <c r="L10" s="22">
        <f>L8+L9</f>
        <v>3000000</v>
      </c>
      <c r="M10" s="93"/>
      <c r="N10" s="94"/>
      <c r="O10" s="93"/>
      <c r="P10" s="93"/>
    </row>
    <row r="12" spans="2:16">
      <c r="P12" s="5"/>
    </row>
    <row r="13" spans="2:16">
      <c r="L13" s="6" t="s">
        <v>18</v>
      </c>
    </row>
  </sheetData>
  <mergeCells count="4">
    <mergeCell ref="M8:M10"/>
    <mergeCell ref="N8:N10"/>
    <mergeCell ref="O8:O10"/>
    <mergeCell ref="P8:P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D023-C0FF-404B-B027-0E21367E9826}">
  <dimension ref="A1:M29"/>
  <sheetViews>
    <sheetView topLeftCell="B1" zoomScale="84" workbookViewId="0">
      <selection activeCell="M19" sqref="M19"/>
    </sheetView>
  </sheetViews>
  <sheetFormatPr defaultColWidth="11.19921875" defaultRowHeight="15.6"/>
  <sheetData>
    <row r="1" spans="1:1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6.2" thickBo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6.2" thickBot="1">
      <c r="A3" s="72"/>
      <c r="B3" s="72"/>
      <c r="C3" s="72"/>
      <c r="D3" s="73"/>
      <c r="E3" s="95" t="s">
        <v>146</v>
      </c>
      <c r="F3" s="96"/>
      <c r="G3" s="97"/>
      <c r="H3" s="98" t="s">
        <v>178</v>
      </c>
      <c r="I3" s="96"/>
      <c r="J3" s="97"/>
      <c r="K3" s="98" t="s">
        <v>179</v>
      </c>
      <c r="L3" s="96"/>
      <c r="M3" s="97"/>
    </row>
    <row r="4" spans="1:13" ht="16.2" thickBot="1">
      <c r="A4" s="72"/>
      <c r="B4" s="72"/>
      <c r="C4" s="72"/>
      <c r="D4" s="74" t="s">
        <v>180</v>
      </c>
      <c r="E4" s="75" t="s">
        <v>191</v>
      </c>
      <c r="F4" s="75" t="s">
        <v>186</v>
      </c>
      <c r="G4" s="75" t="s">
        <v>187</v>
      </c>
      <c r="H4" s="75" t="s">
        <v>185</v>
      </c>
      <c r="I4" s="75" t="s">
        <v>186</v>
      </c>
      <c r="J4" s="75" t="s">
        <v>187</v>
      </c>
      <c r="K4" s="75" t="s">
        <v>185</v>
      </c>
      <c r="L4" s="75" t="s">
        <v>186</v>
      </c>
      <c r="M4" s="75" t="s">
        <v>187</v>
      </c>
    </row>
    <row r="5" spans="1:13">
      <c r="A5" s="72"/>
      <c r="B5" s="72"/>
      <c r="C5" s="72"/>
      <c r="D5" s="76">
        <v>0</v>
      </c>
      <c r="E5" s="77">
        <v>1.2</v>
      </c>
      <c r="F5" s="77">
        <v>0.6</v>
      </c>
      <c r="G5" s="77">
        <v>-0.5</v>
      </c>
      <c r="H5" s="77">
        <v>0.5</v>
      </c>
      <c r="I5" s="77">
        <v>-0.2</v>
      </c>
      <c r="J5" s="77">
        <v>0.1</v>
      </c>
      <c r="K5" s="77">
        <v>0.2</v>
      </c>
      <c r="L5" s="77">
        <v>0.1</v>
      </c>
      <c r="M5" s="77">
        <v>0.3</v>
      </c>
    </row>
    <row r="6" spans="1:13">
      <c r="A6" s="72"/>
      <c r="B6" s="72"/>
      <c r="C6" s="72"/>
      <c r="D6" s="76">
        <v>0.25</v>
      </c>
      <c r="E6" s="77">
        <v>0.8</v>
      </c>
      <c r="F6" s="77">
        <v>0.2</v>
      </c>
      <c r="G6" s="77">
        <v>-0.2</v>
      </c>
      <c r="H6" s="77">
        <v>0.3</v>
      </c>
      <c r="I6" s="77">
        <v>-0.1</v>
      </c>
      <c r="J6" s="77">
        <v>-0.05</v>
      </c>
      <c r="K6" s="77">
        <v>0.4</v>
      </c>
      <c r="L6" s="77">
        <v>0.2</v>
      </c>
      <c r="M6" s="77">
        <v>0.1</v>
      </c>
    </row>
    <row r="7" spans="1:13">
      <c r="A7" s="72"/>
      <c r="B7" s="72"/>
      <c r="C7" s="72"/>
      <c r="D7" s="76">
        <v>0.5</v>
      </c>
      <c r="E7" s="77">
        <v>0.4</v>
      </c>
      <c r="F7" s="77">
        <v>-0.1</v>
      </c>
      <c r="G7" s="77">
        <v>0.1</v>
      </c>
      <c r="H7" s="77">
        <v>0</v>
      </c>
      <c r="I7" s="77">
        <v>0</v>
      </c>
      <c r="J7" s="77">
        <v>0</v>
      </c>
      <c r="K7" s="77">
        <v>0.6</v>
      </c>
      <c r="L7" s="77">
        <v>0.3</v>
      </c>
      <c r="M7" s="77">
        <v>-0.1</v>
      </c>
    </row>
    <row r="8" spans="1:13">
      <c r="A8" s="72"/>
      <c r="B8" s="72"/>
      <c r="C8" s="72"/>
      <c r="D8" s="76">
        <v>0.75</v>
      </c>
      <c r="E8" s="77">
        <v>-0.2</v>
      </c>
      <c r="F8" s="77">
        <v>-0.4</v>
      </c>
      <c r="G8" s="77">
        <v>0.3</v>
      </c>
      <c r="H8" s="77">
        <v>0</v>
      </c>
      <c r="I8" s="77">
        <v>0</v>
      </c>
      <c r="J8" s="77">
        <v>0</v>
      </c>
      <c r="K8" s="77">
        <v>0.1</v>
      </c>
      <c r="L8" s="77">
        <v>0</v>
      </c>
      <c r="M8" s="77">
        <v>0</v>
      </c>
    </row>
    <row r="9" spans="1:13" ht="16.2" thickBot="1">
      <c r="A9" s="72"/>
      <c r="B9" s="72"/>
      <c r="C9" s="72"/>
      <c r="D9" s="78">
        <v>1</v>
      </c>
      <c r="E9" s="79">
        <v>-0.6</v>
      </c>
      <c r="F9" s="79">
        <v>-0.8</v>
      </c>
      <c r="G9" s="79">
        <v>0.5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</row>
    <row r="10" spans="1:13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</row>
    <row r="11" spans="1:13" ht="16.2" thickBo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</row>
    <row r="12" spans="1:13" ht="16.2" thickBot="1">
      <c r="A12" s="72"/>
      <c r="B12" s="72"/>
      <c r="C12" s="72"/>
      <c r="D12" s="73"/>
      <c r="E12" s="99" t="s">
        <v>181</v>
      </c>
      <c r="F12" s="100"/>
      <c r="G12" s="101"/>
      <c r="H12" s="102" t="s">
        <v>182</v>
      </c>
      <c r="I12" s="100"/>
      <c r="J12" s="101"/>
      <c r="K12" s="80"/>
      <c r="L12" s="72" t="s">
        <v>183</v>
      </c>
      <c r="M12" s="72" t="s">
        <v>184</v>
      </c>
    </row>
    <row r="13" spans="1:13" ht="16.2" thickBot="1">
      <c r="A13" s="72"/>
      <c r="B13" s="72"/>
      <c r="C13" s="72"/>
      <c r="D13" s="74" t="s">
        <v>180</v>
      </c>
      <c r="E13" s="81" t="s">
        <v>185</v>
      </c>
      <c r="F13" s="81" t="s">
        <v>186</v>
      </c>
      <c r="G13" s="81" t="s">
        <v>187</v>
      </c>
      <c r="H13" s="81" t="s">
        <v>185</v>
      </c>
      <c r="I13" s="81" t="s">
        <v>186</v>
      </c>
      <c r="J13" s="81" t="s">
        <v>187</v>
      </c>
      <c r="K13" s="81" t="s">
        <v>180</v>
      </c>
      <c r="L13" s="82"/>
      <c r="M13" s="72"/>
    </row>
    <row r="14" spans="1:13">
      <c r="A14" s="72"/>
      <c r="B14" s="72"/>
      <c r="C14" s="72"/>
      <c r="D14" s="83">
        <v>0</v>
      </c>
      <c r="E14" s="84">
        <f>(E5+H5+K5)</f>
        <v>1.9</v>
      </c>
      <c r="F14" s="84">
        <f t="shared" ref="F14:G18" si="0">(F5+I5+L5)</f>
        <v>0.5</v>
      </c>
      <c r="G14" s="84">
        <f t="shared" si="0"/>
        <v>-0.10000000000000003</v>
      </c>
      <c r="H14" s="84">
        <f>MAX(E14,0)</f>
        <v>1.9</v>
      </c>
      <c r="I14" s="84">
        <f t="shared" ref="I14:J18" si="1">MAX(F14,0)</f>
        <v>0.5</v>
      </c>
      <c r="J14" s="84">
        <f t="shared" si="1"/>
        <v>0</v>
      </c>
      <c r="K14" s="85">
        <v>0</v>
      </c>
      <c r="L14" s="84">
        <f>1/3*SUM(H14:J14)</f>
        <v>0.79999999999999993</v>
      </c>
      <c r="M14" s="86">
        <f>MAX(L14)</f>
        <v>0.79999999999999993</v>
      </c>
    </row>
    <row r="15" spans="1:13">
      <c r="A15" s="72"/>
      <c r="B15" s="72"/>
      <c r="C15" s="72"/>
      <c r="D15" s="83">
        <v>0.25</v>
      </c>
      <c r="E15" s="84">
        <f t="shared" ref="E15:E18" si="2">(E6+H6+K6)</f>
        <v>1.5</v>
      </c>
      <c r="F15" s="84">
        <f t="shared" si="0"/>
        <v>0.30000000000000004</v>
      </c>
      <c r="G15" s="84">
        <f t="shared" si="0"/>
        <v>-0.15</v>
      </c>
      <c r="H15" s="84">
        <f t="shared" ref="H15:H18" si="3">MAX(E15,0)</f>
        <v>1.5</v>
      </c>
      <c r="I15" s="84">
        <f t="shared" si="1"/>
        <v>0.30000000000000004</v>
      </c>
      <c r="J15" s="84">
        <f t="shared" si="1"/>
        <v>0</v>
      </c>
      <c r="K15" s="85">
        <v>0.25</v>
      </c>
      <c r="L15" s="84">
        <f t="shared" ref="L15:L18" si="4">1/3*SUM(H15:J15)</f>
        <v>0.6</v>
      </c>
      <c r="M15" s="87">
        <f>MAX(M14,L15)</f>
        <v>0.79999999999999993</v>
      </c>
    </row>
    <row r="16" spans="1:13">
      <c r="A16" s="72"/>
      <c r="B16" s="72"/>
      <c r="C16" s="72"/>
      <c r="D16" s="83">
        <v>0.5</v>
      </c>
      <c r="E16" s="84">
        <f t="shared" si="2"/>
        <v>1</v>
      </c>
      <c r="F16" s="84">
        <f t="shared" si="0"/>
        <v>0.19999999999999998</v>
      </c>
      <c r="G16" s="84">
        <f t="shared" si="0"/>
        <v>0</v>
      </c>
      <c r="H16" s="84">
        <f t="shared" si="3"/>
        <v>1</v>
      </c>
      <c r="I16" s="84">
        <f t="shared" si="1"/>
        <v>0.19999999999999998</v>
      </c>
      <c r="J16" s="84">
        <f t="shared" si="1"/>
        <v>0</v>
      </c>
      <c r="K16" s="85">
        <v>0.5</v>
      </c>
      <c r="L16" s="84">
        <f t="shared" si="4"/>
        <v>0.39999999999999997</v>
      </c>
      <c r="M16" s="87">
        <f t="shared" ref="M16:M18" si="5">MAX(M15,L16)</f>
        <v>0.79999999999999993</v>
      </c>
    </row>
    <row r="17" spans="1:13">
      <c r="A17" s="72"/>
      <c r="B17" s="72"/>
      <c r="C17" s="72"/>
      <c r="D17" s="83">
        <v>0.75</v>
      </c>
      <c r="E17" s="84">
        <f t="shared" si="2"/>
        <v>-0.1</v>
      </c>
      <c r="F17" s="84">
        <f t="shared" si="0"/>
        <v>-0.4</v>
      </c>
      <c r="G17" s="84">
        <f t="shared" si="0"/>
        <v>0.3</v>
      </c>
      <c r="H17" s="84">
        <f t="shared" si="3"/>
        <v>0</v>
      </c>
      <c r="I17" s="84">
        <f t="shared" si="1"/>
        <v>0</v>
      </c>
      <c r="J17" s="84">
        <f t="shared" si="1"/>
        <v>0.3</v>
      </c>
      <c r="K17" s="85">
        <v>0.75</v>
      </c>
      <c r="L17" s="84">
        <f t="shared" si="4"/>
        <v>9.9999999999999992E-2</v>
      </c>
      <c r="M17" s="87">
        <f t="shared" si="5"/>
        <v>0.79999999999999993</v>
      </c>
    </row>
    <row r="18" spans="1:13" ht="16.2" thickBot="1">
      <c r="A18" s="72"/>
      <c r="B18" s="72"/>
      <c r="C18" s="72"/>
      <c r="D18" s="88">
        <v>1</v>
      </c>
      <c r="E18" s="75">
        <f t="shared" si="2"/>
        <v>-0.6</v>
      </c>
      <c r="F18" s="75">
        <f t="shared" si="0"/>
        <v>-0.8</v>
      </c>
      <c r="G18" s="75">
        <f t="shared" si="0"/>
        <v>0.5</v>
      </c>
      <c r="H18" s="75">
        <f t="shared" si="3"/>
        <v>0</v>
      </c>
      <c r="I18" s="75">
        <f t="shared" si="1"/>
        <v>0</v>
      </c>
      <c r="J18" s="75">
        <f t="shared" si="1"/>
        <v>0.5</v>
      </c>
      <c r="K18" s="89">
        <v>1</v>
      </c>
      <c r="L18" s="75">
        <f t="shared" si="4"/>
        <v>0.16666666666666666</v>
      </c>
      <c r="M18" s="87">
        <f t="shared" si="5"/>
        <v>0.79999999999999993</v>
      </c>
    </row>
    <row r="19" spans="1:13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0" spans="1:1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</row>
    <row r="21" spans="1:13">
      <c r="A21" s="72"/>
      <c r="B21" s="72"/>
      <c r="C21" s="72"/>
      <c r="D21" s="72" t="s">
        <v>188</v>
      </c>
      <c r="E21" s="72"/>
      <c r="F21" s="72"/>
      <c r="G21" s="72"/>
      <c r="H21" s="72"/>
      <c r="I21" s="72"/>
      <c r="J21" s="72"/>
      <c r="K21" s="72"/>
      <c r="L21" s="72"/>
      <c r="M21" s="72"/>
    </row>
    <row r="22" spans="1:13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</row>
    <row r="23" spans="1:13">
      <c r="A23" s="72"/>
      <c r="B23" s="72"/>
      <c r="C23" s="72"/>
      <c r="D23" s="72" t="s">
        <v>189</v>
      </c>
      <c r="E23" s="72"/>
      <c r="F23" s="72"/>
      <c r="G23" s="72"/>
      <c r="H23" s="72"/>
      <c r="I23" s="72"/>
      <c r="J23" s="72"/>
      <c r="K23" s="72"/>
      <c r="L23" s="72"/>
      <c r="M23" s="72"/>
    </row>
    <row r="24" spans="1:13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</row>
    <row r="25" spans="1:13">
      <c r="A25" s="72"/>
      <c r="B25" s="72"/>
      <c r="C25" s="72"/>
      <c r="D25" s="72"/>
      <c r="E25" s="90"/>
      <c r="F25" s="72"/>
      <c r="G25" s="72"/>
      <c r="H25" s="90"/>
      <c r="I25" s="72"/>
      <c r="J25" s="72"/>
      <c r="K25" s="72"/>
      <c r="L25" s="72"/>
      <c r="M25" s="72"/>
    </row>
    <row r="26" spans="1:13">
      <c r="A26" s="72"/>
      <c r="B26" s="72"/>
      <c r="C26" s="72"/>
      <c r="D26" s="90" t="s">
        <v>192</v>
      </c>
      <c r="E26" s="90"/>
      <c r="F26" s="90"/>
      <c r="G26" s="72"/>
      <c r="H26" s="90"/>
      <c r="I26" s="72"/>
      <c r="J26" s="72"/>
      <c r="K26" s="72"/>
      <c r="L26" s="72"/>
      <c r="M26" s="72"/>
    </row>
    <row r="27" spans="1:13">
      <c r="A27" s="72"/>
      <c r="B27" s="72"/>
      <c r="C27" s="72"/>
      <c r="D27" s="72"/>
      <c r="E27" s="90"/>
      <c r="F27" s="72"/>
      <c r="G27" s="72"/>
      <c r="H27" s="90"/>
      <c r="I27" s="72"/>
      <c r="J27" s="72"/>
      <c r="K27" s="72"/>
      <c r="L27" s="72"/>
      <c r="M27" s="72"/>
    </row>
    <row r="28" spans="1:13">
      <c r="A28" s="72"/>
      <c r="B28" s="72"/>
      <c r="C28" s="72"/>
      <c r="D28" s="72" t="s">
        <v>190</v>
      </c>
      <c r="E28" s="72"/>
      <c r="F28" s="72"/>
      <c r="G28" s="72"/>
      <c r="H28" s="72"/>
      <c r="I28" s="72"/>
      <c r="J28" s="90"/>
      <c r="K28" s="72"/>
      <c r="L28" s="72"/>
      <c r="M28" s="72"/>
    </row>
    <row r="29" spans="1:13">
      <c r="A29" s="72"/>
      <c r="B29" s="72"/>
      <c r="C29" s="72"/>
      <c r="D29" s="72"/>
      <c r="E29" s="72"/>
      <c r="F29" s="72"/>
      <c r="G29" s="90"/>
      <c r="H29" s="72"/>
      <c r="I29" s="72"/>
      <c r="J29" s="90"/>
      <c r="K29" s="72"/>
      <c r="L29" s="72"/>
      <c r="M29" s="72"/>
    </row>
  </sheetData>
  <mergeCells count="5">
    <mergeCell ref="E3:G3"/>
    <mergeCell ref="H3:J3"/>
    <mergeCell ref="K3:M3"/>
    <mergeCell ref="E12:G12"/>
    <mergeCell ref="H12:J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7453-0942-0547-BCE8-EB9322451D08}">
  <dimension ref="B2:AA32"/>
  <sheetViews>
    <sheetView topLeftCell="P31" workbookViewId="0">
      <selection activeCell="R7" sqref="R7"/>
    </sheetView>
  </sheetViews>
  <sheetFormatPr defaultColWidth="11.19921875" defaultRowHeight="15.6"/>
  <cols>
    <col min="3" max="3" width="14.69921875" bestFit="1" customWidth="1"/>
    <col min="6" max="6" width="13.296875" bestFit="1" customWidth="1"/>
    <col min="7" max="7" width="13.296875" customWidth="1"/>
    <col min="12" max="15" width="16.19921875" customWidth="1"/>
    <col min="16" max="16" width="14" bestFit="1" customWidth="1"/>
    <col min="17" max="17" width="14" customWidth="1"/>
    <col min="19" max="20" width="13" customWidth="1"/>
    <col min="22" max="22" width="15.5" customWidth="1"/>
    <col min="23" max="23" width="13.19921875" customWidth="1"/>
    <col min="24" max="24" width="12.296875" customWidth="1"/>
    <col min="25" max="25" width="12.5" customWidth="1"/>
    <col min="26" max="26" width="13.296875" customWidth="1"/>
    <col min="27" max="27" width="13.69921875" customWidth="1"/>
  </cols>
  <sheetData>
    <row r="2" spans="2:27">
      <c r="B2" s="21" t="s">
        <v>54</v>
      </c>
      <c r="C2" s="21"/>
    </row>
    <row r="4" spans="2:27" ht="62.4">
      <c r="B4" s="1" t="s">
        <v>0</v>
      </c>
      <c r="C4" s="1" t="s">
        <v>28</v>
      </c>
      <c r="D4" s="1" t="s">
        <v>46</v>
      </c>
      <c r="E4" s="1" t="s">
        <v>149</v>
      </c>
      <c r="F4" s="1" t="s">
        <v>151</v>
      </c>
      <c r="G4" s="1" t="s">
        <v>152</v>
      </c>
      <c r="H4" s="1" t="s">
        <v>153</v>
      </c>
      <c r="I4" s="1" t="s">
        <v>158</v>
      </c>
      <c r="J4" s="1" t="s">
        <v>159</v>
      </c>
      <c r="K4" s="1" t="s">
        <v>156</v>
      </c>
      <c r="L4" s="1" t="s">
        <v>157</v>
      </c>
      <c r="M4" s="1" t="s">
        <v>84</v>
      </c>
      <c r="N4" s="1" t="s">
        <v>86</v>
      </c>
      <c r="O4" s="1" t="s">
        <v>170</v>
      </c>
      <c r="P4" s="1" t="s">
        <v>169</v>
      </c>
      <c r="Q4" s="1" t="s">
        <v>36</v>
      </c>
      <c r="R4" s="1" t="s">
        <v>43</v>
      </c>
      <c r="S4" s="1" t="s">
        <v>65</v>
      </c>
      <c r="T4" s="1" t="s">
        <v>165</v>
      </c>
      <c r="U4" s="1" t="s">
        <v>42</v>
      </c>
      <c r="V4" s="1" t="s">
        <v>67</v>
      </c>
      <c r="W4" s="1" t="s">
        <v>68</v>
      </c>
      <c r="X4" s="1" t="s">
        <v>63</v>
      </c>
      <c r="Y4" s="1" t="s">
        <v>62</v>
      </c>
      <c r="Z4" s="1" t="s">
        <v>57</v>
      </c>
      <c r="AA4" s="1" t="s">
        <v>58</v>
      </c>
    </row>
    <row r="5" spans="2:27">
      <c r="B5">
        <v>1</v>
      </c>
      <c r="C5" t="s">
        <v>146</v>
      </c>
      <c r="D5">
        <v>10</v>
      </c>
      <c r="E5" t="s">
        <v>104</v>
      </c>
      <c r="F5" s="59">
        <v>10000</v>
      </c>
      <c r="G5" t="s">
        <v>154</v>
      </c>
      <c r="H5" s="10" t="s">
        <v>155</v>
      </c>
      <c r="I5" s="10"/>
      <c r="J5" s="10"/>
      <c r="K5" s="11">
        <v>30</v>
      </c>
      <c r="L5" s="103">
        <f>MAX(K5+K6+K7,0)</f>
        <v>60</v>
      </c>
      <c r="M5" s="60">
        <v>0</v>
      </c>
      <c r="N5" s="60">
        <v>10</v>
      </c>
      <c r="O5" s="64">
        <f>(EXP(-0.05*M5)-EXP(-0.05*N5))/0.05</f>
        <v>7.8693868057473315</v>
      </c>
      <c r="P5" s="17">
        <f>F5*O5</f>
        <v>78693.868057473315</v>
      </c>
      <c r="Q5" s="67">
        <v>0.5</v>
      </c>
      <c r="R5" s="19">
        <v>1</v>
      </c>
      <c r="S5" s="16">
        <v>1</v>
      </c>
      <c r="T5" s="68">
        <v>3</v>
      </c>
      <c r="U5" s="69">
        <v>5.0000000000000001E-3</v>
      </c>
      <c r="V5" s="14">
        <f>P5*R5*S5*U5</f>
        <v>393.46934028736661</v>
      </c>
      <c r="W5" s="106">
        <f>(V5^2+V6^2+1.4*V5*V6)^(1/2)</f>
        <v>296.34981731855197</v>
      </c>
      <c r="X5" s="104">
        <f>MIN(1,0.05+0.95*EXP(((K5+K6+K7)-0)/(1.9*W8)))</f>
        <v>1</v>
      </c>
      <c r="Y5" s="105">
        <f>X5*W8</f>
        <v>346.76438638381836</v>
      </c>
      <c r="Z5" s="106">
        <f>MAX(K5+K6+K7-0,0)</f>
        <v>60</v>
      </c>
      <c r="AA5" s="107">
        <f>1.4*(Z5+Y5)</f>
        <v>569.47014093734572</v>
      </c>
    </row>
    <row r="6" spans="2:27">
      <c r="B6">
        <v>2</v>
      </c>
      <c r="C6" t="s">
        <v>146</v>
      </c>
      <c r="D6">
        <v>4</v>
      </c>
      <c r="E6" t="s">
        <v>104</v>
      </c>
      <c r="F6" s="59">
        <v>10000</v>
      </c>
      <c r="G6" t="s">
        <v>155</v>
      </c>
      <c r="H6" s="10" t="s">
        <v>154</v>
      </c>
      <c r="I6" s="10"/>
      <c r="J6" s="10"/>
      <c r="K6" s="11">
        <v>-20</v>
      </c>
      <c r="L6" s="103"/>
      <c r="M6" s="60">
        <v>0</v>
      </c>
      <c r="N6" s="60">
        <v>4</v>
      </c>
      <c r="O6" s="64">
        <f t="shared" ref="O6:O7" si="0">(EXP(-0.05*M6)-EXP(-0.05*N6))/0.05</f>
        <v>3.6253849384403636</v>
      </c>
      <c r="P6" s="17">
        <f t="shared" ref="P6:P7" si="1">F6*O6</f>
        <v>36253.849384403635</v>
      </c>
      <c r="Q6" s="67">
        <v>0.5</v>
      </c>
      <c r="R6" s="19">
        <v>-1</v>
      </c>
      <c r="S6" s="16">
        <v>1</v>
      </c>
      <c r="T6" s="68">
        <v>2</v>
      </c>
      <c r="U6" s="69">
        <v>5.0000000000000001E-3</v>
      </c>
      <c r="V6" s="14">
        <f t="shared" ref="V6:V7" si="2">P6*R6*S6*U6</f>
        <v>-181.26924692201817</v>
      </c>
      <c r="W6" s="106"/>
      <c r="X6" s="104"/>
      <c r="Y6" s="105"/>
      <c r="Z6" s="106"/>
      <c r="AA6" s="107"/>
    </row>
    <row r="7" spans="2:27">
      <c r="B7">
        <v>3</v>
      </c>
      <c r="C7" t="s">
        <v>147</v>
      </c>
      <c r="D7" t="s">
        <v>148</v>
      </c>
      <c r="E7" t="s">
        <v>150</v>
      </c>
      <c r="F7" s="12">
        <v>5000</v>
      </c>
      <c r="G7" t="s">
        <v>155</v>
      </c>
      <c r="H7" t="s">
        <v>154</v>
      </c>
      <c r="I7" s="65">
        <v>0.05</v>
      </c>
      <c r="J7" s="65">
        <v>0.06</v>
      </c>
      <c r="K7">
        <v>50</v>
      </c>
      <c r="L7" s="103"/>
      <c r="M7" s="60">
        <v>1</v>
      </c>
      <c r="N7" s="60">
        <v>11</v>
      </c>
      <c r="O7" s="64">
        <f t="shared" si="0"/>
        <v>7.4855922824045473</v>
      </c>
      <c r="P7" s="17">
        <f t="shared" si="1"/>
        <v>37427.961412022734</v>
      </c>
      <c r="Q7" s="67">
        <v>0.5</v>
      </c>
      <c r="R7" s="54">
        <f>-_xlfn.NORM.DIST(-(LN(J7/I7)+1/2*Q7^2*M7)/Q7*SQRT(M7),0,1, TRUE)</f>
        <v>-0.26939521771053271</v>
      </c>
      <c r="S7" s="14">
        <v>1</v>
      </c>
      <c r="T7" s="19">
        <v>3</v>
      </c>
      <c r="U7" s="69">
        <v>5.0000000000000001E-3</v>
      </c>
      <c r="V7" s="14">
        <f t="shared" si="2"/>
        <v>-50.414569065266406</v>
      </c>
      <c r="W7" s="55">
        <f>(V7^2)^(1/2)</f>
        <v>50.414569065266406</v>
      </c>
      <c r="X7" s="104"/>
      <c r="Y7" s="105"/>
      <c r="Z7" s="106"/>
      <c r="AA7" s="107"/>
    </row>
    <row r="8" spans="2:27">
      <c r="W8" s="70">
        <f>SUM(W5+W7)</f>
        <v>346.76438638381836</v>
      </c>
    </row>
    <row r="9" spans="2:27">
      <c r="P9" s="57"/>
    </row>
    <row r="10" spans="2:27">
      <c r="P10" s="57" t="s">
        <v>160</v>
      </c>
    </row>
    <row r="11" spans="2:27">
      <c r="P11" s="57" t="s">
        <v>161</v>
      </c>
    </row>
    <row r="12" spans="2:27">
      <c r="P12" s="57" t="s">
        <v>162</v>
      </c>
      <c r="R12" s="57"/>
    </row>
    <row r="13" spans="2:27">
      <c r="P13" s="57" t="s">
        <v>163</v>
      </c>
      <c r="R13" s="57"/>
    </row>
    <row r="14" spans="2:27">
      <c r="P14" s="57" t="s">
        <v>164</v>
      </c>
    </row>
    <row r="15" spans="2:27" ht="107.4">
      <c r="P15" s="66"/>
    </row>
    <row r="18" spans="2:23">
      <c r="S18" s="57" t="s">
        <v>167</v>
      </c>
    </row>
    <row r="19" spans="2:23">
      <c r="S19" s="57" t="s">
        <v>168</v>
      </c>
      <c r="W19" s="71"/>
    </row>
    <row r="20" spans="2:23" ht="17.399999999999999">
      <c r="N20" s="61"/>
      <c r="U20" t="s">
        <v>166</v>
      </c>
    </row>
    <row r="21" spans="2:23" ht="70.2">
      <c r="G21" s="57"/>
      <c r="H21" s="57"/>
      <c r="I21" s="57"/>
      <c r="J21" s="57"/>
      <c r="N21" s="62"/>
      <c r="W21" s="71" t="s">
        <v>171</v>
      </c>
    </row>
    <row r="22" spans="2:23">
      <c r="G22" s="57"/>
      <c r="H22" s="57"/>
      <c r="I22" s="57"/>
      <c r="J22" s="57"/>
      <c r="N22" s="62"/>
    </row>
    <row r="23" spans="2:23">
      <c r="B23" s="21"/>
      <c r="C23" s="21"/>
      <c r="G23" s="57"/>
      <c r="H23" s="57"/>
      <c r="I23" s="57"/>
      <c r="J23" s="57"/>
      <c r="N23" s="62"/>
    </row>
    <row r="24" spans="2:23">
      <c r="N24" s="62"/>
    </row>
    <row r="25" spans="2:23">
      <c r="N25" s="62"/>
    </row>
    <row r="26" spans="2:23">
      <c r="N26" s="62"/>
    </row>
    <row r="27" spans="2:23">
      <c r="N27" s="62"/>
    </row>
    <row r="28" spans="2:23">
      <c r="N28" s="63"/>
    </row>
    <row r="29" spans="2:23">
      <c r="N29" s="63"/>
    </row>
    <row r="30" spans="2:23">
      <c r="N30" s="62"/>
    </row>
    <row r="31" spans="2:23">
      <c r="N31" s="62"/>
    </row>
    <row r="32" spans="2:23">
      <c r="N32" s="57"/>
    </row>
  </sheetData>
  <mergeCells count="6">
    <mergeCell ref="L5:L7"/>
    <mergeCell ref="X5:X7"/>
    <mergeCell ref="Y5:Y7"/>
    <mergeCell ref="Z5:Z7"/>
    <mergeCell ref="AA5:AA7"/>
    <mergeCell ref="W5:W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9784-8E1E-4748-8FAB-166C40510B76}">
  <dimension ref="B2:AH18"/>
  <sheetViews>
    <sheetView topLeftCell="I1" zoomScale="85" workbookViewId="0">
      <selection activeCell="R6" sqref="O6:R13"/>
    </sheetView>
  </sheetViews>
  <sheetFormatPr defaultColWidth="11.19921875" defaultRowHeight="15.6"/>
  <cols>
    <col min="5" max="5" width="13.296875" bestFit="1" customWidth="1"/>
    <col min="6" max="6" width="13.296875" customWidth="1"/>
    <col min="10" max="10" width="14" bestFit="1" customWidth="1"/>
    <col min="14" max="14" width="13" customWidth="1"/>
    <col min="17" max="18" width="12.5" customWidth="1"/>
    <col min="19" max="19" width="10.5" customWidth="1"/>
    <col min="20" max="20" width="6.296875" customWidth="1"/>
    <col min="21" max="21" width="15.5" customWidth="1"/>
    <col min="22" max="22" width="14.69921875" bestFit="1" customWidth="1"/>
    <col min="23" max="24" width="13.19921875" customWidth="1"/>
    <col min="26" max="26" width="12.296875" customWidth="1"/>
    <col min="29" max="29" width="12.5" bestFit="1" customWidth="1"/>
    <col min="30" max="30" width="12.5" customWidth="1"/>
    <col min="31" max="32" width="12.5" bestFit="1" customWidth="1"/>
    <col min="33" max="33" width="13.296875" customWidth="1"/>
    <col min="34" max="34" width="13.69921875" customWidth="1"/>
  </cols>
  <sheetData>
    <row r="2" spans="2:34">
      <c r="B2" s="21" t="s">
        <v>54</v>
      </c>
    </row>
    <row r="4" spans="2:34" ht="62.4">
      <c r="B4" s="1" t="s">
        <v>0</v>
      </c>
      <c r="C4" s="1" t="s">
        <v>46</v>
      </c>
      <c r="D4" s="1" t="s">
        <v>22</v>
      </c>
      <c r="E4" s="1" t="s">
        <v>25</v>
      </c>
      <c r="F4" s="1" t="s">
        <v>28</v>
      </c>
      <c r="G4" s="1" t="s">
        <v>44</v>
      </c>
      <c r="H4" s="1" t="s">
        <v>45</v>
      </c>
      <c r="I4" s="1" t="s">
        <v>31</v>
      </c>
      <c r="J4" s="1" t="s">
        <v>41</v>
      </c>
      <c r="K4" s="1" t="s">
        <v>33</v>
      </c>
      <c r="L4" s="1" t="s">
        <v>43</v>
      </c>
      <c r="M4" s="1" t="s">
        <v>64</v>
      </c>
      <c r="N4" s="1" t="s">
        <v>65</v>
      </c>
      <c r="O4" s="1" t="s">
        <v>42</v>
      </c>
      <c r="P4" s="1" t="s">
        <v>35</v>
      </c>
      <c r="Q4" s="2" t="s">
        <v>36</v>
      </c>
      <c r="R4" s="2" t="s">
        <v>48</v>
      </c>
      <c r="S4" s="2" t="s">
        <v>38</v>
      </c>
      <c r="T4" s="1" t="s">
        <v>37</v>
      </c>
      <c r="U4" s="1" t="s">
        <v>66</v>
      </c>
      <c r="V4" s="1" t="s">
        <v>67</v>
      </c>
      <c r="W4" s="1" t="s">
        <v>60</v>
      </c>
      <c r="X4" s="1" t="s">
        <v>68</v>
      </c>
      <c r="Y4" s="1" t="s">
        <v>59</v>
      </c>
      <c r="Z4" s="1" t="s">
        <v>63</v>
      </c>
      <c r="AA4" s="1" t="s">
        <v>39</v>
      </c>
      <c r="AB4" s="1" t="s">
        <v>40</v>
      </c>
      <c r="AC4" s="1" t="s">
        <v>61</v>
      </c>
      <c r="AD4" s="1" t="s">
        <v>62</v>
      </c>
      <c r="AE4" s="1" t="s">
        <v>55</v>
      </c>
      <c r="AF4" s="1" t="s">
        <v>56</v>
      </c>
      <c r="AG4" s="1" t="s">
        <v>57</v>
      </c>
      <c r="AH4" s="1" t="s">
        <v>58</v>
      </c>
    </row>
    <row r="5" spans="2:34">
      <c r="B5">
        <v>1</v>
      </c>
      <c r="C5">
        <v>1</v>
      </c>
      <c r="D5" t="s">
        <v>23</v>
      </c>
      <c r="E5" t="s">
        <v>27</v>
      </c>
      <c r="F5" t="s">
        <v>29</v>
      </c>
      <c r="G5" s="10">
        <v>4589</v>
      </c>
      <c r="H5" s="11">
        <v>4589</v>
      </c>
      <c r="I5" s="12">
        <v>1500</v>
      </c>
      <c r="J5" s="17">
        <f>G5*I5</f>
        <v>6883500</v>
      </c>
      <c r="K5" s="10">
        <v>813000</v>
      </c>
      <c r="L5" s="58">
        <f>NORMDIST((LN((G5+0)/(H5+0))+1/2*Q5^2*C5/1)/(Q5*SQRT(C5/1)),0,1,TRUE)</f>
        <v>0.64616976667272386</v>
      </c>
      <c r="M5" s="16">
        <f>3/2*SQRT(R5/250)</f>
        <v>0.30000000000000004</v>
      </c>
      <c r="N5" s="16">
        <f>SQRT(MIN(MAX(10,250),250)/250)</f>
        <v>1</v>
      </c>
      <c r="O5" s="18">
        <v>0.2</v>
      </c>
      <c r="P5" s="18">
        <v>0.8</v>
      </c>
      <c r="Q5" s="18">
        <v>0.75</v>
      </c>
      <c r="R5" s="19">
        <v>10</v>
      </c>
      <c r="S5" s="4">
        <v>0</v>
      </c>
      <c r="T5" s="4">
        <v>0</v>
      </c>
      <c r="U5" s="15">
        <f>J5*L5*M5*O5</f>
        <v>266874.57533350168</v>
      </c>
      <c r="V5" s="15">
        <f>J5*L5*N5*O5</f>
        <v>889581.91777833889</v>
      </c>
      <c r="W5" s="106">
        <f>((P5*U5+P5*U6)^2+(1-P5^2)*U5^2+(1-P5^2)*U6^2)^(1/2)</f>
        <v>246894.54542618673</v>
      </c>
      <c r="X5" s="106">
        <f>(((P5*V5)+(P6*V6))^2+(1-P5^2)*V5^2+(1-P6^2)*V6^2)^(1/2)</f>
        <v>822981.81808728888</v>
      </c>
      <c r="Y5" s="108">
        <f>MIN(1,0.05+0.95*EXP((K5+K6-AA5-AB5)/(1.9*W5)))</f>
        <v>0.89288333131239628</v>
      </c>
      <c r="Z5" s="109">
        <f>MIN(1,0.05+0.95*EXP(((K5+K6)-0)/(1.9*X5)))</f>
        <v>1</v>
      </c>
      <c r="AA5" s="110">
        <v>300000</v>
      </c>
      <c r="AB5" s="110">
        <v>110000</v>
      </c>
      <c r="AC5" s="106">
        <f>Y5*W5</f>
        <v>220448.02420299334</v>
      </c>
      <c r="AD5" s="106">
        <f>Z5*X5</f>
        <v>822981.81808728888</v>
      </c>
      <c r="AE5" s="106">
        <f>MAX((K5+K6)-(AA5+AB5),S5+T5-AB5,0)</f>
        <v>0</v>
      </c>
      <c r="AF5" s="106">
        <f>1.4*(AE5+Y5*W5)</f>
        <v>308627.23388419067</v>
      </c>
      <c r="AG5" s="106">
        <f>MAX(K5+K6-0,0)</f>
        <v>353880</v>
      </c>
      <c r="AH5" s="107">
        <f>1.4*(AG5+AD5)</f>
        <v>1647606.5453222042</v>
      </c>
    </row>
    <row r="6" spans="2:34">
      <c r="B6">
        <v>2</v>
      </c>
      <c r="C6">
        <v>1</v>
      </c>
      <c r="D6" t="s">
        <v>24</v>
      </c>
      <c r="E6" t="s">
        <v>26</v>
      </c>
      <c r="F6" t="s">
        <v>30</v>
      </c>
      <c r="G6" s="10">
        <v>4282</v>
      </c>
      <c r="H6" s="11">
        <v>4100</v>
      </c>
      <c r="I6" s="12">
        <v>1200</v>
      </c>
      <c r="J6" s="17">
        <f>G6*I6</f>
        <v>5138400</v>
      </c>
      <c r="K6" s="10">
        <v>-459120</v>
      </c>
      <c r="L6" s="14">
        <f>-1</f>
        <v>-1</v>
      </c>
      <c r="M6" s="16">
        <f>3/2*SQRT(R6/250)</f>
        <v>0.30000000000000004</v>
      </c>
      <c r="N6" s="16">
        <f>SQRT(MIN(MAX(10,250),250)/250)</f>
        <v>1</v>
      </c>
      <c r="O6" s="18">
        <v>0.2</v>
      </c>
      <c r="P6" s="18">
        <v>0.8</v>
      </c>
      <c r="Q6" s="18">
        <v>0.75</v>
      </c>
      <c r="R6" s="19">
        <v>10</v>
      </c>
      <c r="S6" s="4">
        <v>0</v>
      </c>
      <c r="T6" s="4">
        <v>0</v>
      </c>
      <c r="U6" s="15">
        <f>J6*L6*M6*O6</f>
        <v>-308304.00000000006</v>
      </c>
      <c r="V6" s="15">
        <f>J6*L6*N6*O6</f>
        <v>-1027680</v>
      </c>
      <c r="W6" s="106"/>
      <c r="X6" s="106"/>
      <c r="Y6" s="108"/>
      <c r="Z6" s="109"/>
      <c r="AA6" s="110"/>
      <c r="AB6" s="110"/>
      <c r="AC6" s="106"/>
      <c r="AD6" s="106"/>
      <c r="AE6" s="106"/>
      <c r="AF6" s="106"/>
      <c r="AG6" s="106"/>
      <c r="AH6" s="107"/>
    </row>
    <row r="8" spans="2:34">
      <c r="J8" s="17">
        <v>5139168</v>
      </c>
    </row>
    <row r="9" spans="2:34" ht="83.4">
      <c r="J9" t="s">
        <v>49</v>
      </c>
      <c r="L9" s="13"/>
      <c r="AE9" s="13" t="s">
        <v>145</v>
      </c>
    </row>
    <row r="12" spans="2:34">
      <c r="O12" t="s">
        <v>51</v>
      </c>
    </row>
    <row r="15" spans="2:34">
      <c r="O15" t="s">
        <v>52</v>
      </c>
    </row>
    <row r="16" spans="2:34" ht="83.4">
      <c r="F16" s="57" t="s">
        <v>142</v>
      </c>
      <c r="G16" s="57"/>
      <c r="AE16" s="13"/>
    </row>
    <row r="17" spans="2:31">
      <c r="F17" s="57" t="s">
        <v>143</v>
      </c>
      <c r="G17" s="57"/>
      <c r="AE17" t="s">
        <v>53</v>
      </c>
    </row>
    <row r="18" spans="2:31">
      <c r="B18" s="21"/>
      <c r="F18" s="57" t="s">
        <v>144</v>
      </c>
      <c r="G18" s="57"/>
      <c r="M18" t="s">
        <v>50</v>
      </c>
    </row>
  </sheetData>
  <mergeCells count="12">
    <mergeCell ref="W5:W6"/>
    <mergeCell ref="Y5:Y6"/>
    <mergeCell ref="AC5:AC6"/>
    <mergeCell ref="X5:X6"/>
    <mergeCell ref="AH5:AH6"/>
    <mergeCell ref="AE5:AE6"/>
    <mergeCell ref="AF5:AF6"/>
    <mergeCell ref="AG5:AG6"/>
    <mergeCell ref="Z5:Z6"/>
    <mergeCell ref="AD5:AD6"/>
    <mergeCell ref="AA5:AA6"/>
    <mergeCell ref="AB5:AB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5B40-8F9D-7144-9759-E063EE629FCC}">
  <dimension ref="A1"/>
  <sheetViews>
    <sheetView topLeftCell="A9" workbookViewId="0">
      <selection activeCell="B3" sqref="B3"/>
    </sheetView>
  </sheetViews>
  <sheetFormatPr defaultColWidth="11.19921875" defaultRowHeight="15.6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0B83-805B-BF40-BD40-806DEFA527E6}">
  <dimension ref="A1:AI63"/>
  <sheetViews>
    <sheetView tabSelected="1" topLeftCell="A2" zoomScale="61" zoomScaleNormal="70" workbookViewId="0">
      <selection activeCell="S8" sqref="S8"/>
    </sheetView>
  </sheetViews>
  <sheetFormatPr defaultColWidth="11.19921875" defaultRowHeight="15.6"/>
  <cols>
    <col min="1" max="1" width="16.19921875" customWidth="1"/>
    <col min="2" max="2" width="12.296875" bestFit="1" customWidth="1"/>
    <col min="3" max="3" width="32.69921875" bestFit="1" customWidth="1"/>
    <col min="4" max="4" width="13.5" bestFit="1" customWidth="1"/>
    <col min="5" max="5" width="31" bestFit="1" customWidth="1"/>
    <col min="6" max="6" width="12.5" bestFit="1" customWidth="1"/>
    <col min="8" max="8" width="21.19921875" bestFit="1" customWidth="1"/>
    <col min="9" max="9" width="27.69921875" bestFit="1" customWidth="1"/>
    <col min="10" max="10" width="32.69921875" bestFit="1" customWidth="1"/>
    <col min="12" max="12" width="9.59765625" customWidth="1"/>
    <col min="13" max="13" width="13.5" bestFit="1" customWidth="1"/>
    <col min="18" max="18" width="18.19921875" bestFit="1" customWidth="1"/>
    <col min="19" max="19" width="16.69921875" bestFit="1" customWidth="1"/>
    <col min="22" max="22" width="29.19921875" bestFit="1" customWidth="1"/>
    <col min="24" max="24" width="11.59765625" bestFit="1" customWidth="1"/>
    <col min="28" max="28" width="16.09765625" customWidth="1"/>
    <col min="29" max="29" width="13.5" bestFit="1" customWidth="1"/>
    <col min="30" max="30" width="19.69921875" customWidth="1"/>
    <col min="31" max="31" width="24.19921875" bestFit="1" customWidth="1"/>
    <col min="32" max="32" width="23.09765625" customWidth="1"/>
    <col min="33" max="33" width="29" customWidth="1"/>
    <col min="34" max="34" width="38" customWidth="1"/>
    <col min="35" max="35" width="43.5" customWidth="1"/>
  </cols>
  <sheetData>
    <row r="1" spans="1:35">
      <c r="A1" t="s">
        <v>172</v>
      </c>
      <c r="B1" s="3">
        <v>45291</v>
      </c>
    </row>
    <row r="2" spans="1:35">
      <c r="A2" t="s">
        <v>69</v>
      </c>
      <c r="B2" t="s">
        <v>70</v>
      </c>
    </row>
    <row r="3" spans="1:35">
      <c r="L3" s="20" t="s">
        <v>173</v>
      </c>
      <c r="Q3" s="20" t="s">
        <v>174</v>
      </c>
      <c r="AF3" s="20" t="s">
        <v>175</v>
      </c>
      <c r="AG3" s="20" t="s">
        <v>176</v>
      </c>
      <c r="AH3" s="20" t="s">
        <v>177</v>
      </c>
      <c r="AI3" s="20" t="s">
        <v>193</v>
      </c>
    </row>
    <row r="4" spans="1:3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28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32</v>
      </c>
      <c r="T4" t="s">
        <v>88</v>
      </c>
      <c r="U4" t="s">
        <v>89</v>
      </c>
      <c r="V4" t="s">
        <v>90</v>
      </c>
      <c r="W4" t="s">
        <v>47</v>
      </c>
      <c r="X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97</v>
      </c>
      <c r="AE4" t="s">
        <v>98</v>
      </c>
      <c r="AF4" t="s">
        <v>99</v>
      </c>
      <c r="AG4" t="s">
        <v>100</v>
      </c>
      <c r="AH4" t="s">
        <v>101</v>
      </c>
    </row>
    <row r="5" spans="1:35">
      <c r="A5" t="s">
        <v>102</v>
      </c>
      <c r="B5">
        <v>1101</v>
      </c>
      <c r="C5">
        <v>101</v>
      </c>
      <c r="D5" s="25">
        <v>413836.21</v>
      </c>
      <c r="E5" s="25">
        <v>100000000</v>
      </c>
      <c r="F5" t="s">
        <v>103</v>
      </c>
      <c r="G5" t="s">
        <v>104</v>
      </c>
      <c r="H5" t="s">
        <v>105</v>
      </c>
      <c r="I5" t="s">
        <v>105</v>
      </c>
      <c r="J5" t="s">
        <v>104</v>
      </c>
      <c r="K5" s="3">
        <v>46714</v>
      </c>
      <c r="L5" s="20">
        <f>NETWORKDAYS($B$1,K5)/252</f>
        <v>4.0357142857142856</v>
      </c>
      <c r="M5" s="54">
        <f>IF(L5&lt;=1,1,IF(L5&lt;=5,2,3))</f>
        <v>2</v>
      </c>
      <c r="N5" s="3">
        <v>41554</v>
      </c>
      <c r="O5">
        <v>0</v>
      </c>
      <c r="P5" s="3">
        <v>46714</v>
      </c>
      <c r="Q5" s="20">
        <f>L5</f>
        <v>4.0357142857142856</v>
      </c>
      <c r="R5" s="20">
        <f>(EXP(-0.05*O5)-EXP(-0.05*Q5))/0.05</f>
        <v>3.6545992305263475</v>
      </c>
      <c r="S5" s="55">
        <f>R5*E5</f>
        <v>365459923.05263478</v>
      </c>
      <c r="T5" t="s">
        <v>106</v>
      </c>
      <c r="U5" t="s">
        <v>107</v>
      </c>
      <c r="V5" s="26">
        <v>5</v>
      </c>
      <c r="W5" s="20">
        <f>IF(T5="M",IF(U5="N",10,5)+V5-1,"NA")</f>
        <v>14</v>
      </c>
      <c r="X5" s="91">
        <f>IF(T5="M", 1.5*SQRT(W5/250), SQRT(MIN(L5, 1)))</f>
        <v>0.354964786985977</v>
      </c>
      <c r="Y5" s="26" t="s">
        <v>108</v>
      </c>
      <c r="Z5" s="3">
        <v>46714</v>
      </c>
      <c r="AA5">
        <v>3.8964950711938702</v>
      </c>
      <c r="AB5" s="26" t="s">
        <v>109</v>
      </c>
      <c r="AC5" s="26">
        <v>105</v>
      </c>
      <c r="AD5" s="26">
        <v>120</v>
      </c>
      <c r="AE5">
        <v>0.5</v>
      </c>
      <c r="AF5" s="20">
        <f>_xlfn.NORM.S.DIST((LN(AD5/AC5)+0.5*(0.5^2)*(X5/1))/(0.5*SQRT(X5/1)),TRUE)</f>
        <v>0.72481232173159893</v>
      </c>
      <c r="AG5" s="20">
        <f>_xlfn.NORM.S.DIST((LN(AD5/AC5)+0.5*(0.5^2)*(X5/1))/(0.5*SQRT(X5/1)),TRUE)</f>
        <v>0.72481232173159893</v>
      </c>
      <c r="AH5" s="55">
        <f>S5*X5*AG5</f>
        <v>94026571.071119055</v>
      </c>
      <c r="AI5" t="s">
        <v>194</v>
      </c>
    </row>
    <row r="6" spans="1:35">
      <c r="A6" t="s">
        <v>102</v>
      </c>
      <c r="B6">
        <v>1101</v>
      </c>
      <c r="C6">
        <v>102</v>
      </c>
      <c r="D6" s="25">
        <v>89840.51</v>
      </c>
      <c r="E6" s="25">
        <v>20000000</v>
      </c>
      <c r="F6" t="s">
        <v>103</v>
      </c>
      <c r="G6" t="s">
        <v>104</v>
      </c>
      <c r="H6" t="s">
        <v>105</v>
      </c>
      <c r="I6" t="s">
        <v>105</v>
      </c>
      <c r="J6" t="s">
        <v>104</v>
      </c>
      <c r="K6" s="3">
        <v>46334</v>
      </c>
      <c r="L6" s="20">
        <f t="shared" ref="L6:L20" si="0">NETWORKDAYS($B$1,K6)/252</f>
        <v>2.9563492063492065</v>
      </c>
      <c r="M6" s="54">
        <f t="shared" ref="M6:M20" si="1">IF(L6&lt;=1,1,IF(L6&lt;=5,2,3))</f>
        <v>2</v>
      </c>
      <c r="N6" s="3">
        <v>41554</v>
      </c>
      <c r="O6">
        <v>0</v>
      </c>
      <c r="P6" s="3">
        <v>46334</v>
      </c>
      <c r="Q6" s="20">
        <f t="shared" ref="Q6:Q20" si="2">L6</f>
        <v>2.9563492063492065</v>
      </c>
      <c r="R6" s="20">
        <f t="shared" ref="R6:R20" si="3">(EXP(-0.05*O6)-EXP(-0.05*Q6))/0.05</f>
        <v>2.7482288557345358</v>
      </c>
      <c r="S6" s="55">
        <f t="shared" ref="S6:S20" si="4">R6*E6</f>
        <v>54964577.114690714</v>
      </c>
      <c r="T6" t="s">
        <v>106</v>
      </c>
      <c r="U6" t="s">
        <v>107</v>
      </c>
      <c r="V6" s="26">
        <v>5</v>
      </c>
      <c r="W6" s="20">
        <f t="shared" ref="W6:W12" si="5">IF(T6="M",IF(U6="N",10,5)+V6-1,"NA")</f>
        <v>14</v>
      </c>
      <c r="X6" s="91">
        <f t="shared" ref="X6:X20" si="6">IF(T6="M", 1.5*SQRT(W6/250), SQRT(MIN(L6, 1)))</f>
        <v>0.354964786985977</v>
      </c>
      <c r="Y6" s="26" t="s">
        <v>108</v>
      </c>
      <c r="Z6" s="3">
        <v>46334</v>
      </c>
      <c r="AA6">
        <v>2.8555783709787801</v>
      </c>
      <c r="AB6" s="26" t="s">
        <v>110</v>
      </c>
      <c r="AC6" s="26">
        <v>125</v>
      </c>
      <c r="AD6" s="26">
        <v>115</v>
      </c>
      <c r="AE6">
        <v>0.5</v>
      </c>
      <c r="AF6" s="20">
        <f t="shared" ref="AF6:AF10" si="7">_xlfn.NORM.S.DIST((LN(AD6/AC6)+0.5*(0.5^2)*(X6/1))/(0.5*SQRT(X6/1)),TRUE)</f>
        <v>0.44790515756522753</v>
      </c>
      <c r="AG6" s="20">
        <f>-_xlfn.NORM.S.DIST((LN(AD6/AC6)+0.5*(0.5^2)*(X6/1))/(0.5*SQRT(X6/1)),TRUE)</f>
        <v>-0.44790515756522753</v>
      </c>
      <c r="AH6" s="55">
        <f t="shared" ref="AH6:AH20" si="8">S6*X6*AG6</f>
        <v>-8738848.8321471531</v>
      </c>
      <c r="AI6" t="s">
        <v>194</v>
      </c>
    </row>
    <row r="7" spans="1:35">
      <c r="A7" t="s">
        <v>102</v>
      </c>
      <c r="B7">
        <v>1101</v>
      </c>
      <c r="C7">
        <v>103</v>
      </c>
      <c r="D7" s="25">
        <v>7406680.8300000001</v>
      </c>
      <c r="E7" s="25">
        <v>31865739.02</v>
      </c>
      <c r="F7" t="s">
        <v>103</v>
      </c>
      <c r="G7" t="s">
        <v>111</v>
      </c>
      <c r="H7" t="s">
        <v>105</v>
      </c>
      <c r="I7" t="s">
        <v>105</v>
      </c>
      <c r="J7" t="s">
        <v>111</v>
      </c>
      <c r="K7" s="3">
        <v>46334</v>
      </c>
      <c r="L7" s="20">
        <f t="shared" si="0"/>
        <v>2.9563492063492065</v>
      </c>
      <c r="M7" s="54">
        <f t="shared" si="1"/>
        <v>2</v>
      </c>
      <c r="N7" s="3">
        <v>41554</v>
      </c>
      <c r="O7">
        <v>0</v>
      </c>
      <c r="P7" s="3">
        <v>46334</v>
      </c>
      <c r="Q7" s="20">
        <f t="shared" si="2"/>
        <v>2.9563492063492065</v>
      </c>
      <c r="R7" s="20">
        <f t="shared" si="3"/>
        <v>2.7482288557345358</v>
      </c>
      <c r="S7" s="55">
        <f t="shared" si="4"/>
        <v>87574343.484069943</v>
      </c>
      <c r="T7" t="s">
        <v>106</v>
      </c>
      <c r="U7" t="s">
        <v>107</v>
      </c>
      <c r="V7" s="26">
        <v>5</v>
      </c>
      <c r="W7" s="20">
        <f t="shared" si="5"/>
        <v>14</v>
      </c>
      <c r="X7" s="91">
        <f t="shared" si="6"/>
        <v>0.354964786985977</v>
      </c>
      <c r="Y7" s="26" t="s">
        <v>112</v>
      </c>
      <c r="Z7" s="3">
        <v>46334</v>
      </c>
      <c r="AA7">
        <v>2.8555783709787801</v>
      </c>
      <c r="AB7" s="26" t="s">
        <v>110</v>
      </c>
      <c r="AC7" s="26">
        <v>123</v>
      </c>
      <c r="AD7" s="26">
        <v>145</v>
      </c>
      <c r="AE7">
        <v>0.5</v>
      </c>
      <c r="AF7" s="20">
        <f t="shared" si="7"/>
        <v>0.75844889777625246</v>
      </c>
      <c r="AG7" s="20">
        <f t="shared" ref="AG7" si="9">-_xlfn.NORM.S.DIST((LN(AD7/AC7)+0.5*(0.5^2)*(X7/1))/(0.5*SQRT(X7/1)),TRUE)</f>
        <v>-0.75844889777625246</v>
      </c>
      <c r="AH7" s="55">
        <f t="shared" si="8"/>
        <v>-23576996.950801961</v>
      </c>
      <c r="AI7" t="s">
        <v>194</v>
      </c>
    </row>
    <row r="8" spans="1:35">
      <c r="A8" t="s">
        <v>102</v>
      </c>
      <c r="B8">
        <v>1101</v>
      </c>
      <c r="C8">
        <v>104</v>
      </c>
      <c r="D8" s="25">
        <v>-40774.639999999999</v>
      </c>
      <c r="E8" s="25">
        <v>31865739.02</v>
      </c>
      <c r="F8" t="s">
        <v>103</v>
      </c>
      <c r="G8" t="s">
        <v>111</v>
      </c>
      <c r="H8" t="s">
        <v>105</v>
      </c>
      <c r="I8" t="s">
        <v>105</v>
      </c>
      <c r="J8" t="s">
        <v>111</v>
      </c>
      <c r="K8" s="3">
        <v>45564</v>
      </c>
      <c r="L8" s="20">
        <f t="shared" si="0"/>
        <v>0.77380952380952384</v>
      </c>
      <c r="M8" s="54">
        <f t="shared" si="1"/>
        <v>1</v>
      </c>
      <c r="N8" s="3">
        <v>41588</v>
      </c>
      <c r="O8">
        <v>0</v>
      </c>
      <c r="P8" s="3">
        <v>45564</v>
      </c>
      <c r="Q8" s="20">
        <f t="shared" si="2"/>
        <v>0.77380952380952384</v>
      </c>
      <c r="R8" s="20">
        <f t="shared" si="3"/>
        <v>0.75903120070629049</v>
      </c>
      <c r="S8" s="55">
        <f t="shared" si="4"/>
        <v>24187090.149743892</v>
      </c>
      <c r="T8" t="s">
        <v>106</v>
      </c>
      <c r="U8" t="s">
        <v>107</v>
      </c>
      <c r="V8" s="26">
        <v>5</v>
      </c>
      <c r="W8" s="20">
        <f t="shared" si="5"/>
        <v>14</v>
      </c>
      <c r="X8" s="91">
        <f t="shared" si="6"/>
        <v>0.354964786985977</v>
      </c>
      <c r="Y8" s="26" t="s">
        <v>112</v>
      </c>
      <c r="Z8" s="3">
        <v>45564</v>
      </c>
      <c r="AA8">
        <f>0.745901639344262</f>
        <v>0.74590163934426201</v>
      </c>
      <c r="AB8" s="26" t="s">
        <v>109</v>
      </c>
      <c r="AC8" s="26">
        <v>132</v>
      </c>
      <c r="AD8" s="26">
        <v>150</v>
      </c>
      <c r="AE8">
        <v>0.5</v>
      </c>
      <c r="AF8" s="20">
        <f t="shared" si="7"/>
        <v>0.71839160899251708</v>
      </c>
      <c r="AG8" s="20">
        <f>_xlfn.NORM.S.DIST((LN(AD8/AC8)+0.5*(0.5^2)*(X8/1))/(0.5*SQRT(X8/1)),TRUE)</f>
        <v>0.71839160899251708</v>
      </c>
      <c r="AH8" s="55">
        <f t="shared" si="8"/>
        <v>6167798.071999209</v>
      </c>
      <c r="AI8" t="s">
        <v>195</v>
      </c>
    </row>
    <row r="9" spans="1:35">
      <c r="A9" t="s">
        <v>102</v>
      </c>
      <c r="B9">
        <v>1101</v>
      </c>
      <c r="C9">
        <v>105</v>
      </c>
      <c r="D9" s="25">
        <v>1671083.41</v>
      </c>
      <c r="E9" s="25">
        <v>10621913.01</v>
      </c>
      <c r="F9" t="s">
        <v>103</v>
      </c>
      <c r="G9" t="s">
        <v>111</v>
      </c>
      <c r="H9" t="s">
        <v>105</v>
      </c>
      <c r="I9" t="s">
        <v>105</v>
      </c>
      <c r="J9" t="s">
        <v>111</v>
      </c>
      <c r="K9" s="3">
        <v>45564</v>
      </c>
      <c r="L9" s="20">
        <f t="shared" si="0"/>
        <v>0.77380952380952384</v>
      </c>
      <c r="M9" s="54">
        <f t="shared" si="1"/>
        <v>1</v>
      </c>
      <c r="N9" s="3">
        <v>41593</v>
      </c>
      <c r="O9">
        <v>0</v>
      </c>
      <c r="P9" s="3">
        <v>45564</v>
      </c>
      <c r="Q9" s="20">
        <f t="shared" si="2"/>
        <v>0.77380952380952384</v>
      </c>
      <c r="R9" s="20">
        <f t="shared" si="3"/>
        <v>0.75903120070629049</v>
      </c>
      <c r="S9" s="55">
        <f t="shared" si="4"/>
        <v>8062363.3857780676</v>
      </c>
      <c r="T9" t="s">
        <v>106</v>
      </c>
      <c r="U9" t="s">
        <v>107</v>
      </c>
      <c r="V9" s="26">
        <v>5</v>
      </c>
      <c r="W9" s="20">
        <f t="shared" si="5"/>
        <v>14</v>
      </c>
      <c r="X9" s="91">
        <f t="shared" si="6"/>
        <v>0.354964786985977</v>
      </c>
      <c r="Y9" s="26" t="s">
        <v>108</v>
      </c>
      <c r="Z9" s="3">
        <v>45564</v>
      </c>
      <c r="AA9">
        <f>0.745901639344262</f>
        <v>0.74590163934426201</v>
      </c>
      <c r="AB9" s="26" t="s">
        <v>110</v>
      </c>
      <c r="AC9" s="26">
        <v>127</v>
      </c>
      <c r="AD9" s="26">
        <v>120</v>
      </c>
      <c r="AE9">
        <v>0.5</v>
      </c>
      <c r="AF9" s="20">
        <f t="shared" si="7"/>
        <v>0.48349933319857608</v>
      </c>
      <c r="AG9" s="20">
        <f>-_xlfn.NORM.S.DIST((LN(AD9/AC9)+0.5*(0.5^2)*(X9/1))/(0.5*SQRT(X9/1)),TRUE)</f>
        <v>-0.48349933319857608</v>
      </c>
      <c r="AH9" s="55">
        <f t="shared" si="8"/>
        <v>-1383705.0334487709</v>
      </c>
      <c r="AI9" t="s">
        <v>195</v>
      </c>
    </row>
    <row r="10" spans="1:35">
      <c r="A10" t="s">
        <v>102</v>
      </c>
      <c r="B10">
        <v>1101</v>
      </c>
      <c r="C10">
        <v>106</v>
      </c>
      <c r="D10" s="25">
        <v>-149917.47</v>
      </c>
      <c r="E10" s="25">
        <v>52801098.259999998</v>
      </c>
      <c r="F10" t="s">
        <v>113</v>
      </c>
      <c r="G10" t="s">
        <v>111</v>
      </c>
      <c r="H10" t="s">
        <v>105</v>
      </c>
      <c r="I10" t="s">
        <v>105</v>
      </c>
      <c r="J10" t="s">
        <v>111</v>
      </c>
      <c r="K10" s="3">
        <v>45545</v>
      </c>
      <c r="L10" s="20">
        <f t="shared" si="0"/>
        <v>0.72222222222222221</v>
      </c>
      <c r="M10" s="54">
        <f t="shared" si="1"/>
        <v>1</v>
      </c>
      <c r="N10" s="3">
        <v>41593</v>
      </c>
      <c r="O10">
        <v>0</v>
      </c>
      <c r="P10" s="3">
        <v>45545</v>
      </c>
      <c r="Q10" s="20">
        <f t="shared" si="2"/>
        <v>0.72222222222222221</v>
      </c>
      <c r="R10" s="20">
        <f t="shared" si="3"/>
        <v>0.70933765634718426</v>
      </c>
      <c r="S10" s="55">
        <f t="shared" si="4"/>
        <v>37453807.29230579</v>
      </c>
      <c r="T10" t="s">
        <v>106</v>
      </c>
      <c r="U10" t="s">
        <v>107</v>
      </c>
      <c r="V10" s="26">
        <v>5</v>
      </c>
      <c r="W10" s="20">
        <f t="shared" si="5"/>
        <v>14</v>
      </c>
      <c r="X10" s="91">
        <f t="shared" si="6"/>
        <v>0.354964786985977</v>
      </c>
      <c r="Y10" s="26" t="s">
        <v>108</v>
      </c>
      <c r="Z10" s="3">
        <v>45545</v>
      </c>
      <c r="AA10">
        <f>0.693989071038251</f>
        <v>0.69398907103825103</v>
      </c>
      <c r="AB10" s="26" t="s">
        <v>109</v>
      </c>
      <c r="AC10" s="26">
        <v>135</v>
      </c>
      <c r="AD10" s="26">
        <v>154</v>
      </c>
      <c r="AE10">
        <v>0.5</v>
      </c>
      <c r="AF10" s="20">
        <f t="shared" si="7"/>
        <v>0.72273159076566418</v>
      </c>
      <c r="AG10" s="20">
        <f>_xlfn.NORM.S.DIST((LN(AD10/AC10)+0.5*(0.5^2)*(X10/1))/(0.5*SQRT(X10/1)),TRUE)</f>
        <v>0.72273159076566418</v>
      </c>
      <c r="AH10" s="55">
        <f t="shared" si="8"/>
        <v>9608559.4694050308</v>
      </c>
      <c r="AI10" t="s">
        <v>196</v>
      </c>
    </row>
    <row r="11" spans="1:35">
      <c r="A11" t="s">
        <v>102</v>
      </c>
      <c r="B11">
        <v>1101</v>
      </c>
      <c r="C11">
        <v>107</v>
      </c>
      <c r="D11" s="25">
        <v>149515.81</v>
      </c>
      <c r="E11" s="25">
        <v>58081208.090000004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s="3">
        <v>46734</v>
      </c>
      <c r="L11" s="20">
        <f t="shared" si="0"/>
        <v>4.0912698412698409</v>
      </c>
      <c r="M11" s="54">
        <f t="shared" si="1"/>
        <v>2</v>
      </c>
      <c r="N11" s="3">
        <v>41491</v>
      </c>
      <c r="O11">
        <v>0</v>
      </c>
      <c r="P11" s="3">
        <v>46734</v>
      </c>
      <c r="Q11" s="20">
        <f t="shared" si="2"/>
        <v>4.0912698412698409</v>
      </c>
      <c r="R11" s="20">
        <f t="shared" si="3"/>
        <v>3.6999401189421577</v>
      </c>
      <c r="S11" s="55">
        <f t="shared" si="4"/>
        <v>214896991.96881881</v>
      </c>
      <c r="T11" t="s">
        <v>106</v>
      </c>
      <c r="U11" t="s">
        <v>107</v>
      </c>
      <c r="V11" s="26">
        <v>5</v>
      </c>
      <c r="W11" s="20">
        <f t="shared" si="5"/>
        <v>14</v>
      </c>
      <c r="X11" s="91">
        <f t="shared" si="6"/>
        <v>0.354964786985977</v>
      </c>
      <c r="Y11" s="26" t="s">
        <v>112</v>
      </c>
      <c r="Z11" s="3" t="s">
        <v>105</v>
      </c>
      <c r="AA11" t="s">
        <v>105</v>
      </c>
      <c r="AB11" s="26" t="s">
        <v>105</v>
      </c>
      <c r="AC11" s="26" t="s">
        <v>105</v>
      </c>
      <c r="AD11" s="26" t="s">
        <v>105</v>
      </c>
      <c r="AG11" s="20">
        <v>-1</v>
      </c>
      <c r="AH11" s="55">
        <f t="shared" si="8"/>
        <v>-76280864.978138983</v>
      </c>
      <c r="AI11" t="s">
        <v>197</v>
      </c>
    </row>
    <row r="12" spans="1:35">
      <c r="A12" t="s">
        <v>102</v>
      </c>
      <c r="B12">
        <v>1101</v>
      </c>
      <c r="C12">
        <v>108</v>
      </c>
      <c r="D12" s="25">
        <v>23975.65</v>
      </c>
      <c r="E12" s="25">
        <v>19225500</v>
      </c>
      <c r="F12" t="s">
        <v>114</v>
      </c>
      <c r="G12" t="s">
        <v>115</v>
      </c>
      <c r="H12" t="s">
        <v>116</v>
      </c>
      <c r="I12" t="s">
        <v>119</v>
      </c>
      <c r="J12" t="s">
        <v>120</v>
      </c>
      <c r="K12" s="3">
        <v>45656</v>
      </c>
      <c r="L12" s="20">
        <f t="shared" si="0"/>
        <v>1.0357142857142858</v>
      </c>
      <c r="M12" s="54">
        <f t="shared" si="1"/>
        <v>2</v>
      </c>
      <c r="N12" s="3">
        <v>41491</v>
      </c>
      <c r="O12">
        <v>0</v>
      </c>
      <c r="P12" s="3">
        <v>45656</v>
      </c>
      <c r="Q12" s="20">
        <f t="shared" si="2"/>
        <v>1.0357142857142858</v>
      </c>
      <c r="R12" s="20">
        <f t="shared" si="3"/>
        <v>1.0093536749082843</v>
      </c>
      <c r="S12" s="55">
        <f t="shared" si="4"/>
        <v>19405329.07694922</v>
      </c>
      <c r="T12" t="s">
        <v>106</v>
      </c>
      <c r="U12" t="s">
        <v>107</v>
      </c>
      <c r="V12" s="26">
        <v>5</v>
      </c>
      <c r="W12" s="20">
        <f t="shared" si="5"/>
        <v>14</v>
      </c>
      <c r="X12" s="91">
        <f t="shared" si="6"/>
        <v>0.354964786985977</v>
      </c>
      <c r="Y12" s="26" t="s">
        <v>108</v>
      </c>
      <c r="Z12" s="3" t="s">
        <v>105</v>
      </c>
      <c r="AA12" t="s">
        <v>105</v>
      </c>
      <c r="AB12" s="26" t="s">
        <v>105</v>
      </c>
      <c r="AC12" s="26" t="s">
        <v>105</v>
      </c>
      <c r="AD12" s="26" t="s">
        <v>105</v>
      </c>
      <c r="AG12" s="20">
        <v>1</v>
      </c>
      <c r="AH12" s="55">
        <f t="shared" si="8"/>
        <v>6888208.5021920661</v>
      </c>
      <c r="AI12" t="s">
        <v>198</v>
      </c>
    </row>
    <row r="13" spans="1:35">
      <c r="A13" t="s">
        <v>121</v>
      </c>
      <c r="B13">
        <v>1103</v>
      </c>
      <c r="C13">
        <v>115</v>
      </c>
      <c r="D13" s="25">
        <v>-40581.589999999997</v>
      </c>
      <c r="E13" s="25">
        <v>79465400</v>
      </c>
      <c r="F13" t="s">
        <v>122</v>
      </c>
      <c r="G13" t="s">
        <v>111</v>
      </c>
      <c r="H13" t="s">
        <v>105</v>
      </c>
      <c r="I13" t="s">
        <v>105</v>
      </c>
      <c r="J13" t="s">
        <v>111</v>
      </c>
      <c r="K13" s="3">
        <v>45432</v>
      </c>
      <c r="L13" s="20">
        <f t="shared" si="0"/>
        <v>0.40079365079365081</v>
      </c>
      <c r="M13" s="54">
        <f t="shared" si="1"/>
        <v>1</v>
      </c>
      <c r="N13" s="3">
        <v>41496</v>
      </c>
      <c r="O13">
        <v>0</v>
      </c>
      <c r="P13" s="3">
        <v>45432</v>
      </c>
      <c r="Q13" s="20">
        <f t="shared" si="2"/>
        <v>0.40079365079365081</v>
      </c>
      <c r="R13" s="20">
        <f t="shared" si="3"/>
        <v>0.39680445388487584</v>
      </c>
      <c r="S13" s="55">
        <f t="shared" si="4"/>
        <v>31532224.649743214</v>
      </c>
      <c r="T13" t="s">
        <v>123</v>
      </c>
      <c r="U13" t="s">
        <v>107</v>
      </c>
      <c r="V13" s="26" t="s">
        <v>124</v>
      </c>
      <c r="W13" s="20" t="s">
        <v>124</v>
      </c>
      <c r="X13" s="91">
        <f t="shared" si="6"/>
        <v>0.63308265715753964</v>
      </c>
      <c r="Y13" s="26" t="s">
        <v>112</v>
      </c>
      <c r="Z13" s="3" t="s">
        <v>105</v>
      </c>
      <c r="AA13" t="s">
        <v>105</v>
      </c>
      <c r="AB13" s="26" t="s">
        <v>105</v>
      </c>
      <c r="AC13" s="26" t="s">
        <v>105</v>
      </c>
      <c r="AD13" s="26" t="s">
        <v>105</v>
      </c>
      <c r="AG13" s="20">
        <v>-1</v>
      </c>
      <c r="AH13" s="55">
        <f t="shared" si="8"/>
        <v>-19962504.567347903</v>
      </c>
      <c r="AI13" t="s">
        <v>199</v>
      </c>
    </row>
    <row r="14" spans="1:35">
      <c r="A14" t="s">
        <v>121</v>
      </c>
      <c r="B14">
        <v>1103</v>
      </c>
      <c r="C14">
        <v>116</v>
      </c>
      <c r="D14" s="25">
        <v>-110173.33</v>
      </c>
      <c r="E14" s="25">
        <v>215325600</v>
      </c>
      <c r="F14" t="s">
        <v>122</v>
      </c>
      <c r="G14" t="s">
        <v>111</v>
      </c>
      <c r="H14" t="s">
        <v>105</v>
      </c>
      <c r="I14" t="s">
        <v>105</v>
      </c>
      <c r="J14" t="s">
        <v>111</v>
      </c>
      <c r="K14" s="3">
        <v>46061</v>
      </c>
      <c r="L14" s="20">
        <f t="shared" si="0"/>
        <v>2.1825396825396823</v>
      </c>
      <c r="M14" s="54">
        <f t="shared" si="1"/>
        <v>2</v>
      </c>
      <c r="N14" s="3">
        <v>41496</v>
      </c>
      <c r="O14">
        <v>0</v>
      </c>
      <c r="P14" s="3">
        <v>46061</v>
      </c>
      <c r="Q14" s="20">
        <f t="shared" si="2"/>
        <v>2.1825396825396823</v>
      </c>
      <c r="R14" s="20">
        <f t="shared" si="3"/>
        <v>2.0676689160280359</v>
      </c>
      <c r="S14" s="55">
        <f t="shared" si="4"/>
        <v>445222049.94508648</v>
      </c>
      <c r="T14" t="s">
        <v>123</v>
      </c>
      <c r="U14" t="s">
        <v>107</v>
      </c>
      <c r="V14" s="26" t="s">
        <v>124</v>
      </c>
      <c r="W14" s="20" t="s">
        <v>124</v>
      </c>
      <c r="X14" s="91">
        <f t="shared" si="6"/>
        <v>1</v>
      </c>
      <c r="Y14" s="26" t="s">
        <v>112</v>
      </c>
      <c r="Z14" s="3" t="s">
        <v>105</v>
      </c>
      <c r="AA14" t="s">
        <v>105</v>
      </c>
      <c r="AB14" s="26" t="s">
        <v>105</v>
      </c>
      <c r="AC14" s="26" t="s">
        <v>105</v>
      </c>
      <c r="AD14" s="26" t="s">
        <v>105</v>
      </c>
      <c r="AG14" s="20">
        <v>-1</v>
      </c>
      <c r="AH14" s="55">
        <f t="shared" si="8"/>
        <v>-445222049.94508648</v>
      </c>
      <c r="AI14" t="s">
        <v>200</v>
      </c>
    </row>
    <row r="15" spans="1:35">
      <c r="A15" t="s">
        <v>125</v>
      </c>
      <c r="B15">
        <v>1102</v>
      </c>
      <c r="C15">
        <v>109</v>
      </c>
      <c r="D15" s="25">
        <v>1949.32</v>
      </c>
      <c r="E15" s="25">
        <v>47422900</v>
      </c>
      <c r="F15" t="s">
        <v>114</v>
      </c>
      <c r="G15" t="s">
        <v>104</v>
      </c>
      <c r="H15" t="s">
        <v>105</v>
      </c>
      <c r="I15" t="s">
        <v>105</v>
      </c>
      <c r="J15" t="s">
        <v>104</v>
      </c>
      <c r="K15" s="3">
        <v>45656</v>
      </c>
      <c r="L15" s="20">
        <f t="shared" si="0"/>
        <v>1.0357142857142858</v>
      </c>
      <c r="M15" s="54">
        <f t="shared" si="1"/>
        <v>2</v>
      </c>
      <c r="N15" s="3">
        <v>41554</v>
      </c>
      <c r="O15">
        <v>0</v>
      </c>
      <c r="P15" s="3">
        <v>45656</v>
      </c>
      <c r="Q15" s="20">
        <f t="shared" si="2"/>
        <v>1.0357142857142858</v>
      </c>
      <c r="R15" s="20">
        <f t="shared" si="3"/>
        <v>1.0093536749082843</v>
      </c>
      <c r="S15" s="55">
        <f t="shared" si="4"/>
        <v>47866478.389808074</v>
      </c>
      <c r="T15" t="s">
        <v>106</v>
      </c>
      <c r="U15" t="s">
        <v>107</v>
      </c>
      <c r="V15" s="26">
        <v>5</v>
      </c>
      <c r="W15" s="20">
        <v>14</v>
      </c>
      <c r="X15" s="91">
        <f t="shared" si="6"/>
        <v>0.354964786985977</v>
      </c>
      <c r="Y15" s="26" t="s">
        <v>108</v>
      </c>
      <c r="Z15" s="3" t="s">
        <v>105</v>
      </c>
      <c r="AA15" t="s">
        <v>105</v>
      </c>
      <c r="AB15" s="26" t="s">
        <v>105</v>
      </c>
      <c r="AC15" s="26" t="s">
        <v>105</v>
      </c>
      <c r="AD15" s="26" t="s">
        <v>105</v>
      </c>
      <c r="AG15" s="20">
        <v>1</v>
      </c>
      <c r="AH15" s="55">
        <f t="shared" si="8"/>
        <v>16990914.305407096</v>
      </c>
      <c r="AI15" t="s">
        <v>201</v>
      </c>
    </row>
    <row r="16" spans="1:35">
      <c r="A16" t="s">
        <v>125</v>
      </c>
      <c r="B16">
        <v>1102</v>
      </c>
      <c r="C16">
        <v>110</v>
      </c>
      <c r="D16" s="25">
        <v>-16568.28</v>
      </c>
      <c r="E16" s="25">
        <v>41014400</v>
      </c>
      <c r="F16" t="s">
        <v>114</v>
      </c>
      <c r="G16" t="s">
        <v>104</v>
      </c>
      <c r="H16" t="s">
        <v>105</v>
      </c>
      <c r="I16" t="s">
        <v>105</v>
      </c>
      <c r="J16" t="s">
        <v>104</v>
      </c>
      <c r="K16" s="3">
        <v>45679</v>
      </c>
      <c r="L16" s="20">
        <f t="shared" si="0"/>
        <v>1.1031746031746033</v>
      </c>
      <c r="M16" s="54">
        <f t="shared" si="1"/>
        <v>2</v>
      </c>
      <c r="N16" s="3">
        <v>41640</v>
      </c>
      <c r="O16">
        <v>0</v>
      </c>
      <c r="P16" s="3">
        <v>45679</v>
      </c>
      <c r="Q16" s="20">
        <f t="shared" si="2"/>
        <v>1.1031746031746033</v>
      </c>
      <c r="R16" s="20">
        <f t="shared" si="3"/>
        <v>1.0733015172289218</v>
      </c>
      <c r="S16" s="55">
        <f t="shared" si="4"/>
        <v>44020817.748233892</v>
      </c>
      <c r="T16" t="s">
        <v>106</v>
      </c>
      <c r="U16" t="s">
        <v>107</v>
      </c>
      <c r="V16" s="26">
        <v>5</v>
      </c>
      <c r="W16" s="20">
        <v>14</v>
      </c>
      <c r="X16" s="91">
        <f t="shared" si="6"/>
        <v>0.354964786985977</v>
      </c>
      <c r="Y16" s="26" t="s">
        <v>112</v>
      </c>
      <c r="Z16" s="3" t="s">
        <v>105</v>
      </c>
      <c r="AA16" t="s">
        <v>105</v>
      </c>
      <c r="AB16" s="26" t="s">
        <v>105</v>
      </c>
      <c r="AC16" s="26" t="s">
        <v>105</v>
      </c>
      <c r="AD16" s="26" t="s">
        <v>105</v>
      </c>
      <c r="AG16" s="20">
        <v>-1</v>
      </c>
      <c r="AH16" s="55">
        <f t="shared" si="8"/>
        <v>-15625840.194950359</v>
      </c>
      <c r="AI16" t="s">
        <v>201</v>
      </c>
    </row>
    <row r="17" spans="1:35">
      <c r="A17" t="s">
        <v>125</v>
      </c>
      <c r="B17">
        <v>1102</v>
      </c>
      <c r="C17">
        <v>111</v>
      </c>
      <c r="D17" s="25">
        <v>58017.1</v>
      </c>
      <c r="E17" s="25">
        <v>128170000</v>
      </c>
      <c r="F17" t="s">
        <v>114</v>
      </c>
      <c r="G17" t="s">
        <v>104</v>
      </c>
      <c r="H17" t="s">
        <v>105</v>
      </c>
      <c r="I17" t="s">
        <v>105</v>
      </c>
      <c r="J17" t="s">
        <v>104</v>
      </c>
      <c r="K17" s="3">
        <v>47064</v>
      </c>
      <c r="L17" s="20">
        <f t="shared" si="0"/>
        <v>5.0277777777777777</v>
      </c>
      <c r="M17" s="54">
        <f t="shared" si="1"/>
        <v>3</v>
      </c>
      <c r="N17" s="3">
        <v>41640</v>
      </c>
      <c r="O17">
        <v>0</v>
      </c>
      <c r="P17" s="3">
        <v>47064</v>
      </c>
      <c r="Q17" s="20">
        <f t="shared" si="2"/>
        <v>5.0277777777777777</v>
      </c>
      <c r="R17" s="20">
        <f t="shared" si="3"/>
        <v>4.4456026774467201</v>
      </c>
      <c r="S17" s="55">
        <f t="shared" si="4"/>
        <v>569792895.16834617</v>
      </c>
      <c r="T17" t="s">
        <v>106</v>
      </c>
      <c r="U17" t="s">
        <v>107</v>
      </c>
      <c r="V17" s="26">
        <v>10</v>
      </c>
      <c r="W17" s="20">
        <v>19</v>
      </c>
      <c r="X17" s="91">
        <f t="shared" si="6"/>
        <v>0.41352146256270667</v>
      </c>
      <c r="Y17" s="26" t="s">
        <v>108</v>
      </c>
      <c r="Z17" s="3" t="s">
        <v>105</v>
      </c>
      <c r="AA17" t="s">
        <v>105</v>
      </c>
      <c r="AB17" s="26" t="s">
        <v>105</v>
      </c>
      <c r="AC17" s="26" t="s">
        <v>105</v>
      </c>
      <c r="AD17" s="26" t="s">
        <v>105</v>
      </c>
      <c r="AG17" s="20">
        <v>1</v>
      </c>
      <c r="AH17" s="55">
        <f t="shared" si="8"/>
        <v>235621591.36785349</v>
      </c>
      <c r="AI17" t="s">
        <v>202</v>
      </c>
    </row>
    <row r="18" spans="1:35">
      <c r="A18" t="s">
        <v>125</v>
      </c>
      <c r="B18">
        <v>1102</v>
      </c>
      <c r="C18">
        <v>112</v>
      </c>
      <c r="D18" s="25">
        <v>11605.1</v>
      </c>
      <c r="E18" s="25">
        <v>21788900</v>
      </c>
      <c r="F18" t="s">
        <v>114</v>
      </c>
      <c r="G18" t="s">
        <v>104</v>
      </c>
      <c r="H18" t="s">
        <v>105</v>
      </c>
      <c r="I18" t="s">
        <v>105</v>
      </c>
      <c r="J18" t="s">
        <v>104</v>
      </c>
      <c r="K18" s="3">
        <v>47263</v>
      </c>
      <c r="L18" s="20">
        <f t="shared" si="0"/>
        <v>5.5952380952380949</v>
      </c>
      <c r="M18" s="54">
        <f t="shared" si="1"/>
        <v>3</v>
      </c>
      <c r="N18" s="3">
        <v>41640</v>
      </c>
      <c r="O18">
        <v>0</v>
      </c>
      <c r="P18" s="3">
        <v>47263</v>
      </c>
      <c r="Q18" s="20">
        <f t="shared" si="2"/>
        <v>5.5952380952380949</v>
      </c>
      <c r="R18" s="20">
        <f t="shared" si="3"/>
        <v>4.8807257722052428</v>
      </c>
      <c r="S18" s="55">
        <f t="shared" si="4"/>
        <v>106345645.77800281</v>
      </c>
      <c r="T18" t="s">
        <v>106</v>
      </c>
      <c r="U18" t="s">
        <v>107</v>
      </c>
      <c r="V18" s="26">
        <v>10</v>
      </c>
      <c r="W18" s="20">
        <v>19</v>
      </c>
      <c r="X18" s="91">
        <f t="shared" si="6"/>
        <v>0.41352146256270667</v>
      </c>
      <c r="Y18" s="26" t="s">
        <v>112</v>
      </c>
      <c r="Z18" s="3" t="s">
        <v>105</v>
      </c>
      <c r="AA18" t="s">
        <v>105</v>
      </c>
      <c r="AB18" s="26" t="s">
        <v>105</v>
      </c>
      <c r="AC18" s="26" t="s">
        <v>105</v>
      </c>
      <c r="AD18" s="26" t="s">
        <v>105</v>
      </c>
      <c r="AG18" s="20">
        <v>-1</v>
      </c>
      <c r="AH18" s="55">
        <f t="shared" si="8"/>
        <v>-43976206.979295254</v>
      </c>
      <c r="AI18" t="s">
        <v>202</v>
      </c>
    </row>
    <row r="19" spans="1:35">
      <c r="A19" t="s">
        <v>125</v>
      </c>
      <c r="B19">
        <v>1102</v>
      </c>
      <c r="C19">
        <v>113</v>
      </c>
      <c r="D19" s="25">
        <v>41757.839999999997</v>
      </c>
      <c r="E19" s="25">
        <v>233269400</v>
      </c>
      <c r="F19" t="s">
        <v>122</v>
      </c>
      <c r="G19" t="s">
        <v>115</v>
      </c>
      <c r="H19" t="s">
        <v>105</v>
      </c>
      <c r="I19" t="s">
        <v>105</v>
      </c>
      <c r="J19" t="s">
        <v>115</v>
      </c>
      <c r="K19" s="3">
        <v>47260</v>
      </c>
      <c r="L19" s="20">
        <f t="shared" si="0"/>
        <v>5.583333333333333</v>
      </c>
      <c r="M19" s="54">
        <f t="shared" si="1"/>
        <v>3</v>
      </c>
      <c r="N19" s="3">
        <v>41496</v>
      </c>
      <c r="O19">
        <v>0</v>
      </c>
      <c r="P19" s="3">
        <v>47260</v>
      </c>
      <c r="Q19" s="20">
        <f t="shared" si="2"/>
        <v>5.583333333333333</v>
      </c>
      <c r="R19" s="20">
        <f t="shared" si="3"/>
        <v>4.8717235252381359</v>
      </c>
      <c r="S19" s="55">
        <f t="shared" si="4"/>
        <v>1136424023.6981847</v>
      </c>
      <c r="T19" t="s">
        <v>106</v>
      </c>
      <c r="U19" t="s">
        <v>107</v>
      </c>
      <c r="V19" s="26">
        <v>10</v>
      </c>
      <c r="W19" s="20">
        <v>19</v>
      </c>
      <c r="X19" s="91">
        <f t="shared" si="6"/>
        <v>0.41352146256270667</v>
      </c>
      <c r="Y19" s="26" t="s">
        <v>108</v>
      </c>
      <c r="Z19" s="3" t="s">
        <v>105</v>
      </c>
      <c r="AA19" t="s">
        <v>105</v>
      </c>
      <c r="AB19" s="26" t="s">
        <v>105</v>
      </c>
      <c r="AC19" s="26" t="s">
        <v>105</v>
      </c>
      <c r="AD19" s="26" t="s">
        <v>105</v>
      </c>
      <c r="AG19" s="20">
        <v>1</v>
      </c>
      <c r="AH19" s="55">
        <f t="shared" si="8"/>
        <v>469935724.37106937</v>
      </c>
      <c r="AI19" t="s">
        <v>203</v>
      </c>
    </row>
    <row r="20" spans="1:35">
      <c r="A20" t="s">
        <v>125</v>
      </c>
      <c r="B20">
        <v>1102</v>
      </c>
      <c r="C20">
        <v>114</v>
      </c>
      <c r="D20" s="25">
        <v>-16095.05</v>
      </c>
      <c r="E20" s="25">
        <v>32042500</v>
      </c>
      <c r="F20" t="s">
        <v>122</v>
      </c>
      <c r="G20" t="s">
        <v>115</v>
      </c>
      <c r="H20" t="s">
        <v>105</v>
      </c>
      <c r="I20" t="s">
        <v>105</v>
      </c>
      <c r="J20" t="s">
        <v>115</v>
      </c>
      <c r="K20" s="3">
        <v>46191</v>
      </c>
      <c r="L20" s="20">
        <f t="shared" si="0"/>
        <v>2.5555555555555554</v>
      </c>
      <c r="M20" s="54">
        <f t="shared" si="1"/>
        <v>2</v>
      </c>
      <c r="N20" s="3">
        <v>41496</v>
      </c>
      <c r="O20">
        <v>0</v>
      </c>
      <c r="P20" s="3">
        <v>46191</v>
      </c>
      <c r="Q20" s="20">
        <f t="shared" si="2"/>
        <v>2.5555555555555554</v>
      </c>
      <c r="R20" s="20">
        <f t="shared" si="3"/>
        <v>2.3990215231165757</v>
      </c>
      <c r="S20" s="55">
        <f t="shared" si="4"/>
        <v>76870647.154462874</v>
      </c>
      <c r="T20" t="s">
        <v>106</v>
      </c>
      <c r="U20" t="s">
        <v>107</v>
      </c>
      <c r="V20" s="26">
        <v>10</v>
      </c>
      <c r="W20" s="20">
        <v>19</v>
      </c>
      <c r="X20" s="91">
        <f t="shared" si="6"/>
        <v>0.41352146256270667</v>
      </c>
      <c r="Y20" s="26" t="s">
        <v>112</v>
      </c>
      <c r="Z20" s="3" t="s">
        <v>105</v>
      </c>
      <c r="AA20" t="s">
        <v>105</v>
      </c>
      <c r="AB20" s="26" t="s">
        <v>105</v>
      </c>
      <c r="AC20" s="26" t="s">
        <v>105</v>
      </c>
      <c r="AD20" s="26" t="s">
        <v>105</v>
      </c>
      <c r="AG20" s="20">
        <v>-1</v>
      </c>
      <c r="AH20" s="55">
        <f t="shared" si="8"/>
        <v>-31787662.439455252</v>
      </c>
      <c r="AI20" t="s">
        <v>204</v>
      </c>
    </row>
    <row r="29" spans="1:35">
      <c r="A29" t="s">
        <v>71</v>
      </c>
      <c r="B29" t="s">
        <v>72</v>
      </c>
      <c r="C29" t="s">
        <v>79</v>
      </c>
      <c r="D29" t="s">
        <v>82</v>
      </c>
      <c r="E29" t="s">
        <v>126</v>
      </c>
    </row>
    <row r="30" spans="1:35">
      <c r="A30" t="s">
        <v>102</v>
      </c>
      <c r="B30">
        <v>1101</v>
      </c>
      <c r="C30" t="s">
        <v>120</v>
      </c>
      <c r="D30" s="27">
        <v>1</v>
      </c>
      <c r="E30" s="56">
        <f>SUMIFS($AH$5:$AH$20,$A$5:$A$20,A30,$B$5:$B$20,B30,$J$5:$J$20,C30,$M$5:$M$20,D30)</f>
        <v>0</v>
      </c>
      <c r="F30" s="25"/>
    </row>
    <row r="31" spans="1:35">
      <c r="A31" t="s">
        <v>102</v>
      </c>
      <c r="B31">
        <v>1101</v>
      </c>
      <c r="C31" t="s">
        <v>118</v>
      </c>
      <c r="D31" s="27">
        <v>2</v>
      </c>
      <c r="E31" s="56">
        <f t="shared" ref="E31:E41" si="10">SUMIFS($AH$5:$AH$20,$A$5:$A$20,A31,$B$5:$B$20,B31,$J$5:$J$20,C31,$M$5:$M$20,D31)</f>
        <v>-76280864.978138983</v>
      </c>
      <c r="F31" s="25"/>
    </row>
    <row r="32" spans="1:35">
      <c r="A32" t="s">
        <v>102</v>
      </c>
      <c r="B32">
        <v>1101</v>
      </c>
      <c r="C32" t="s">
        <v>111</v>
      </c>
      <c r="D32" s="27">
        <v>1</v>
      </c>
      <c r="E32" s="56">
        <f t="shared" si="10"/>
        <v>14392652.507955469</v>
      </c>
      <c r="F32" s="25"/>
      <c r="G32" s="26"/>
    </row>
    <row r="33" spans="1:10">
      <c r="A33" t="s">
        <v>102</v>
      </c>
      <c r="B33">
        <v>1101</v>
      </c>
      <c r="C33" t="s">
        <v>111</v>
      </c>
      <c r="D33" s="27">
        <v>2</v>
      </c>
      <c r="E33" s="56">
        <f t="shared" si="10"/>
        <v>-23576996.950801961</v>
      </c>
      <c r="F33" s="25"/>
    </row>
    <row r="34" spans="1:10">
      <c r="A34" t="s">
        <v>102</v>
      </c>
      <c r="B34">
        <v>1101</v>
      </c>
      <c r="C34" t="s">
        <v>104</v>
      </c>
      <c r="D34" s="27">
        <v>2</v>
      </c>
      <c r="E34" s="56">
        <f t="shared" si="10"/>
        <v>85287722.238971904</v>
      </c>
      <c r="F34" s="25"/>
    </row>
    <row r="35" spans="1:10">
      <c r="A35" t="s">
        <v>121</v>
      </c>
      <c r="B35">
        <v>1103</v>
      </c>
      <c r="C35" t="s">
        <v>111</v>
      </c>
      <c r="D35" s="27">
        <v>1</v>
      </c>
      <c r="E35" s="56">
        <f t="shared" si="10"/>
        <v>-19962504.567347903</v>
      </c>
      <c r="F35" s="25"/>
    </row>
    <row r="36" spans="1:10">
      <c r="A36" t="s">
        <v>121</v>
      </c>
      <c r="B36">
        <v>1103</v>
      </c>
      <c r="C36" t="s">
        <v>111</v>
      </c>
      <c r="D36" s="27">
        <v>2</v>
      </c>
      <c r="E36" s="56">
        <f t="shared" si="10"/>
        <v>-445222049.94508648</v>
      </c>
      <c r="F36" s="25"/>
    </row>
    <row r="37" spans="1:10">
      <c r="A37" t="s">
        <v>125</v>
      </c>
      <c r="B37">
        <v>1102</v>
      </c>
      <c r="C37" t="s">
        <v>115</v>
      </c>
      <c r="D37" s="27">
        <v>2</v>
      </c>
      <c r="E37" s="56">
        <f t="shared" si="10"/>
        <v>-31787662.439455252</v>
      </c>
      <c r="F37" s="25"/>
    </row>
    <row r="38" spans="1:10">
      <c r="A38" t="s">
        <v>125</v>
      </c>
      <c r="B38">
        <v>1102</v>
      </c>
      <c r="C38" t="s">
        <v>115</v>
      </c>
      <c r="D38" s="27">
        <v>3</v>
      </c>
      <c r="E38" s="56">
        <f t="shared" si="10"/>
        <v>469935724.37106937</v>
      </c>
      <c r="F38" s="25"/>
    </row>
    <row r="39" spans="1:10">
      <c r="A39" t="s">
        <v>125</v>
      </c>
      <c r="B39">
        <v>1102</v>
      </c>
      <c r="C39" t="s">
        <v>104</v>
      </c>
      <c r="D39" s="27">
        <v>1</v>
      </c>
      <c r="E39" s="56">
        <f t="shared" si="10"/>
        <v>0</v>
      </c>
      <c r="F39" s="25"/>
    </row>
    <row r="40" spans="1:10">
      <c r="A40" t="s">
        <v>125</v>
      </c>
      <c r="B40">
        <v>1102</v>
      </c>
      <c r="C40" t="s">
        <v>104</v>
      </c>
      <c r="D40" s="27">
        <v>2</v>
      </c>
      <c r="E40" s="56">
        <f t="shared" si="10"/>
        <v>1365074.1104567368</v>
      </c>
      <c r="F40" s="25"/>
    </row>
    <row r="41" spans="1:10">
      <c r="A41" t="s">
        <v>125</v>
      </c>
      <c r="B41">
        <v>1102</v>
      </c>
      <c r="C41" t="s">
        <v>104</v>
      </c>
      <c r="D41" s="27">
        <v>3</v>
      </c>
      <c r="E41" s="56">
        <f t="shared" si="10"/>
        <v>191645384.38855824</v>
      </c>
      <c r="F41" s="25"/>
    </row>
    <row r="46" spans="1:10">
      <c r="A46" t="s">
        <v>127</v>
      </c>
      <c r="D46" t="s">
        <v>82</v>
      </c>
    </row>
    <row r="47" spans="1:10">
      <c r="A47" t="s">
        <v>71</v>
      </c>
      <c r="B47" t="s">
        <v>72</v>
      </c>
      <c r="C47" t="s">
        <v>79</v>
      </c>
      <c r="D47" s="27">
        <v>1</v>
      </c>
      <c r="E47" s="27">
        <v>2</v>
      </c>
      <c r="F47" s="27">
        <v>3</v>
      </c>
      <c r="G47" t="s">
        <v>116</v>
      </c>
      <c r="H47" t="s">
        <v>34</v>
      </c>
      <c r="I47" t="s">
        <v>128</v>
      </c>
    </row>
    <row r="48" spans="1:10">
      <c r="A48" t="s">
        <v>102</v>
      </c>
      <c r="B48">
        <v>1101</v>
      </c>
      <c r="C48" t="s">
        <v>120</v>
      </c>
      <c r="D48" s="56">
        <f>SUMIFS($E$30:$E$40,$A$30:$A$40,A48,$B$30:$B$40,B48,$C$30:$C$40,C48,$D$30:$D$40,1)</f>
        <v>0</v>
      </c>
      <c r="E48" s="56"/>
      <c r="F48" s="25"/>
      <c r="G48" t="s">
        <v>116</v>
      </c>
      <c r="H48" s="20">
        <f>IF(G48="Basis",0.0025,0.005)</f>
        <v>2.5000000000000001E-3</v>
      </c>
      <c r="I48" s="55">
        <f>SQRT(D48^2+E48^2+1.4*D48*E48)</f>
        <v>0</v>
      </c>
      <c r="J48" s="26"/>
    </row>
    <row r="49" spans="1:10">
      <c r="A49" t="s">
        <v>102</v>
      </c>
      <c r="B49">
        <v>1101</v>
      </c>
      <c r="C49" t="s">
        <v>118</v>
      </c>
      <c r="D49" s="56">
        <f t="shared" ref="D49:D54" si="11">SUMIFS($E$30:$E$40,$A$30:$A$40,A49,$B$30:$B$40,B49,$C$30:$C$40,C49,$D$30:$D$40,1)</f>
        <v>0</v>
      </c>
      <c r="E49" s="56">
        <f t="shared" ref="E49:E54" si="12">SUMIFS($E$30:$E$40,$A$30:$A$40,A49,$B$30:$B$40,B49,$C$30:$C$40,C49,$D$30:$D$40,2)</f>
        <v>-76280864.978138983</v>
      </c>
      <c r="F49" s="25"/>
      <c r="G49" t="s">
        <v>116</v>
      </c>
      <c r="H49" s="20">
        <f t="shared" ref="H49:H54" si="13">IF(G49="Basis",0.0025,0.005)</f>
        <v>2.5000000000000001E-3</v>
      </c>
      <c r="I49" s="55">
        <f t="shared" ref="I49:I54" si="14">SQRT(D49^2+E49^2+1.4*D49*E49)</f>
        <v>76280864.978138983</v>
      </c>
      <c r="J49" s="26"/>
    </row>
    <row r="50" spans="1:10">
      <c r="A50" t="s">
        <v>102</v>
      </c>
      <c r="B50">
        <v>1101</v>
      </c>
      <c r="C50" t="s">
        <v>111</v>
      </c>
      <c r="D50" s="56">
        <f t="shared" si="11"/>
        <v>14392652.507955469</v>
      </c>
      <c r="E50" s="56">
        <f t="shared" si="12"/>
        <v>-23576996.950801961</v>
      </c>
      <c r="F50" s="25"/>
      <c r="G50" t="s">
        <v>105</v>
      </c>
      <c r="H50" s="20">
        <f t="shared" si="13"/>
        <v>5.0000000000000001E-3</v>
      </c>
      <c r="I50" s="55">
        <f t="shared" si="14"/>
        <v>16969192.597800765</v>
      </c>
      <c r="J50" s="26"/>
    </row>
    <row r="51" spans="1:10">
      <c r="A51" t="s">
        <v>102</v>
      </c>
      <c r="B51">
        <v>1101</v>
      </c>
      <c r="C51" t="s">
        <v>104</v>
      </c>
      <c r="D51" s="56">
        <f t="shared" si="11"/>
        <v>0</v>
      </c>
      <c r="E51" s="56">
        <f t="shared" si="12"/>
        <v>85287722.238971904</v>
      </c>
      <c r="F51" s="25"/>
      <c r="G51" t="s">
        <v>105</v>
      </c>
      <c r="H51" s="20">
        <f t="shared" si="13"/>
        <v>5.0000000000000001E-3</v>
      </c>
      <c r="I51" s="55">
        <f t="shared" si="14"/>
        <v>85287722.238971904</v>
      </c>
      <c r="J51" s="26"/>
    </row>
    <row r="52" spans="1:10">
      <c r="A52" t="s">
        <v>121</v>
      </c>
      <c r="B52">
        <v>1103</v>
      </c>
      <c r="C52" t="s">
        <v>111</v>
      </c>
      <c r="D52" s="56">
        <f t="shared" si="11"/>
        <v>-19962504.567347903</v>
      </c>
      <c r="E52" s="56">
        <f t="shared" si="12"/>
        <v>-445222049.94508648</v>
      </c>
      <c r="F52" s="25"/>
      <c r="G52" t="s">
        <v>105</v>
      </c>
      <c r="H52" s="20">
        <f t="shared" si="13"/>
        <v>5.0000000000000001E-3</v>
      </c>
      <c r="I52" s="55">
        <f t="shared" si="14"/>
        <v>459417045.21450263</v>
      </c>
      <c r="J52" s="26"/>
    </row>
    <row r="53" spans="1:10">
      <c r="A53" t="s">
        <v>125</v>
      </c>
      <c r="B53">
        <v>1102</v>
      </c>
      <c r="C53" t="s">
        <v>115</v>
      </c>
      <c r="D53" s="56">
        <f t="shared" si="11"/>
        <v>0</v>
      </c>
      <c r="E53" s="56">
        <f t="shared" si="12"/>
        <v>-31787662.439455252</v>
      </c>
      <c r="F53" s="56">
        <f>SUMIFS($E$30:$E$40,$A$30:$A$40,A48,$B$30:$B$40,B48,$C$30:$C$40,C48,$D$30:$D$40,3)</f>
        <v>0</v>
      </c>
      <c r="G53" t="s">
        <v>105</v>
      </c>
      <c r="H53" s="20">
        <f t="shared" si="13"/>
        <v>5.0000000000000001E-3</v>
      </c>
      <c r="I53" s="55">
        <f t="shared" si="14"/>
        <v>31787662.439455252</v>
      </c>
      <c r="J53" s="26"/>
    </row>
    <row r="54" spans="1:10">
      <c r="A54" t="s">
        <v>125</v>
      </c>
      <c r="B54">
        <v>1102</v>
      </c>
      <c r="C54" t="s">
        <v>104</v>
      </c>
      <c r="D54" s="56">
        <f t="shared" si="11"/>
        <v>0</v>
      </c>
      <c r="E54" s="56">
        <f t="shared" si="12"/>
        <v>1365074.1104567368</v>
      </c>
      <c r="F54" s="56">
        <f t="shared" ref="F54" si="15">SUMIFS($E$30:$E$40,$A$30:$A$40,A49,$B$30:$B$40,B49,$C$30:$C$40,C49,$D$30:$D$40,3)</f>
        <v>0</v>
      </c>
      <c r="G54" t="s">
        <v>105</v>
      </c>
      <c r="H54" s="20">
        <f t="shared" si="13"/>
        <v>5.0000000000000001E-3</v>
      </c>
      <c r="I54" s="55">
        <f t="shared" si="14"/>
        <v>1365074.1104567368</v>
      </c>
      <c r="J54" s="26"/>
    </row>
    <row r="60" spans="1:10">
      <c r="A60" t="s">
        <v>71</v>
      </c>
      <c r="B60" t="s">
        <v>72</v>
      </c>
      <c r="C60" t="s">
        <v>129</v>
      </c>
    </row>
    <row r="61" spans="1:10">
      <c r="A61" t="s">
        <v>102</v>
      </c>
      <c r="B61">
        <v>1101</v>
      </c>
      <c r="C61" s="56">
        <f>SUMIFS($I$48:$I$54,$A$48:$A$54,A61,$B$48:$B$54,B61)</f>
        <v>178537779.81491166</v>
      </c>
    </row>
    <row r="62" spans="1:10">
      <c r="A62" t="s">
        <v>121</v>
      </c>
      <c r="B62">
        <v>1103</v>
      </c>
      <c r="C62" s="56">
        <f t="shared" ref="C62:C63" si="16">SUMIFS($I$48:$I$54,$A$48:$A$54,A62,$B$48:$B$54,B62)</f>
        <v>459417045.21450263</v>
      </c>
    </row>
    <row r="63" spans="1:10">
      <c r="A63" t="s">
        <v>125</v>
      </c>
      <c r="B63">
        <v>1102</v>
      </c>
      <c r="C63" s="56">
        <f t="shared" si="16"/>
        <v>33152736.549911991</v>
      </c>
    </row>
  </sheetData>
  <autoFilter ref="AB1:AB63" xr:uid="{48E30B83-805B-BF40-BD40-806DEFA527E6}"/>
  <phoneticPr fontId="3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D62D-38BC-4646-9A96-FC02169E2612}">
  <dimension ref="A1:AG25"/>
  <sheetViews>
    <sheetView topLeftCell="T1" zoomScale="58" workbookViewId="0">
      <selection activeCell="AF19" sqref="AF19"/>
    </sheetView>
  </sheetViews>
  <sheetFormatPr defaultColWidth="7.69921875" defaultRowHeight="13.8"/>
  <cols>
    <col min="1" max="1" width="8.796875" style="28" customWidth="1"/>
    <col min="2" max="2" width="1.69921875" style="53" customWidth="1"/>
    <col min="3" max="3" width="17.296875" style="53" customWidth="1"/>
    <col min="4" max="4" width="33.5" style="53" bestFit="1" customWidth="1"/>
    <col min="5" max="5" width="17.796875" style="53" bestFit="1" customWidth="1"/>
    <col min="6" max="6" width="21.296875" style="53" bestFit="1" customWidth="1"/>
    <col min="7" max="7" width="23.19921875" style="53" bestFit="1" customWidth="1"/>
    <col min="8" max="12" width="23.19921875" style="53" customWidth="1"/>
    <col min="13" max="13" width="21.69921875" style="53" bestFit="1" customWidth="1"/>
    <col min="14" max="14" width="21.69921875" style="53" customWidth="1"/>
    <col min="15" max="15" width="20.796875" style="53" customWidth="1"/>
    <col min="16" max="16" width="21.69921875" style="53" bestFit="1" customWidth="1"/>
    <col min="17" max="17" width="23.69921875" style="53" customWidth="1"/>
    <col min="18" max="18" width="33.5" style="53" bestFit="1" customWidth="1"/>
    <col min="19" max="19" width="21.69921875" style="53" bestFit="1" customWidth="1"/>
    <col min="20" max="20" width="12.296875" style="53" bestFit="1" customWidth="1"/>
    <col min="21" max="21" width="18.19921875" style="53" customWidth="1"/>
    <col min="22" max="22" width="21.19921875" style="53" customWidth="1"/>
    <col min="23" max="23" width="17.296875" style="53" bestFit="1" customWidth="1"/>
    <col min="24" max="24" width="20.69921875" style="53" bestFit="1" customWidth="1"/>
    <col min="25" max="25" width="7.69921875" style="53" bestFit="1"/>
    <col min="26" max="26" width="30.796875" style="53" bestFit="1" customWidth="1"/>
    <col min="27" max="27" width="16" style="53" customWidth="1"/>
    <col min="28" max="28" width="24.296875" style="53" bestFit="1" customWidth="1"/>
    <col min="29" max="29" width="20.5" style="53" bestFit="1" customWidth="1"/>
    <col min="30" max="30" width="16.5" style="53" bestFit="1" customWidth="1"/>
    <col min="31" max="31" width="31" style="53" bestFit="1" customWidth="1"/>
    <col min="32" max="32" width="15.796875" style="53" bestFit="1" customWidth="1"/>
    <col min="33" max="33" width="7.796875" style="53" customWidth="1"/>
    <col min="34" max="37" width="30.796875" style="53" customWidth="1"/>
    <col min="38" max="38" width="16" style="53" bestFit="1" customWidth="1"/>
    <col min="39" max="39" width="24.296875" style="53" bestFit="1" customWidth="1"/>
    <col min="40" max="40" width="14.296875" style="53" bestFit="1" customWidth="1"/>
    <col min="41" max="41" width="18.5" style="53" bestFit="1" customWidth="1"/>
    <col min="42" max="42" width="25.296875" style="53" bestFit="1" customWidth="1"/>
    <col min="43" max="43" width="18.5" style="53" bestFit="1" customWidth="1"/>
    <col min="44" max="44" width="25.296875" style="53" bestFit="1" customWidth="1"/>
    <col min="45" max="45" width="27.296875" style="53" bestFit="1" customWidth="1"/>
    <col min="46" max="46" width="16.19921875" style="53" bestFit="1" customWidth="1"/>
    <col min="47" max="47" width="3.5" style="53" customWidth="1"/>
    <col min="48" max="48" width="13.19921875" style="53" bestFit="1" customWidth="1"/>
    <col min="49" max="49" width="2.69921875" style="53" customWidth="1"/>
    <col min="50" max="16384" width="7.69921875" style="53"/>
  </cols>
  <sheetData>
    <row r="1" spans="2:33" s="28" customFormat="1" ht="12.75" customHeight="1"/>
    <row r="2" spans="2:33" s="28" customFormat="1" ht="12.75" customHeight="1"/>
    <row r="3" spans="2:33" s="28" customFormat="1" ht="12.75" customHeight="1"/>
    <row r="4" spans="2:33" s="28" customFormat="1" ht="12.75" customHeight="1"/>
    <row r="5" spans="2:33" s="28" customFormat="1" ht="12.75" customHeight="1"/>
    <row r="6" spans="2:33" s="28" customFormat="1" ht="12" customHeight="1"/>
    <row r="7" spans="2:33" s="28" customFormat="1" ht="19.5" customHeight="1">
      <c r="B7" s="29"/>
      <c r="C7" s="30" t="s">
        <v>130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2"/>
    </row>
    <row r="8" spans="2:33" s="28" customFormat="1" ht="12.75" customHeight="1" thickBot="1">
      <c r="B8" s="33"/>
      <c r="C8" s="34"/>
      <c r="D8" s="34"/>
      <c r="E8" s="34"/>
      <c r="F8" s="35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111"/>
      <c r="AC8" s="111"/>
      <c r="AD8" s="111"/>
      <c r="AE8" s="111"/>
      <c r="AF8" s="34"/>
      <c r="AG8" s="36"/>
    </row>
    <row r="9" spans="2:33" s="28" customFormat="1" ht="12.75" customHeight="1" thickBot="1">
      <c r="B9" s="33"/>
      <c r="C9" s="37" t="s">
        <v>131</v>
      </c>
      <c r="D9" s="38" t="s">
        <v>71</v>
      </c>
      <c r="E9" s="38" t="s">
        <v>72</v>
      </c>
      <c r="F9" s="38" t="s">
        <v>73</v>
      </c>
      <c r="G9" s="38" t="s">
        <v>28</v>
      </c>
      <c r="H9" s="38" t="s">
        <v>69</v>
      </c>
      <c r="I9" s="38" t="s">
        <v>132</v>
      </c>
      <c r="J9" s="38" t="s">
        <v>133</v>
      </c>
      <c r="K9" s="38" t="s">
        <v>134</v>
      </c>
      <c r="L9" s="38" t="s">
        <v>76</v>
      </c>
      <c r="M9" s="39" t="s">
        <v>77</v>
      </c>
      <c r="N9" s="39" t="s">
        <v>78</v>
      </c>
      <c r="O9" s="40" t="s">
        <v>135</v>
      </c>
      <c r="P9" s="39" t="s">
        <v>136</v>
      </c>
      <c r="Q9" s="39" t="s">
        <v>137</v>
      </c>
      <c r="R9" s="38" t="s">
        <v>80</v>
      </c>
      <c r="S9" s="39" t="s">
        <v>83</v>
      </c>
      <c r="T9" s="39" t="s">
        <v>85</v>
      </c>
      <c r="U9" s="39" t="s">
        <v>138</v>
      </c>
      <c r="V9" s="39" t="s">
        <v>139</v>
      </c>
      <c r="W9" s="39" t="s">
        <v>140</v>
      </c>
      <c r="X9" s="39" t="s">
        <v>88</v>
      </c>
      <c r="Y9" s="39" t="s">
        <v>89</v>
      </c>
      <c r="Z9" s="39" t="s">
        <v>90</v>
      </c>
      <c r="AA9" s="38" t="s">
        <v>92</v>
      </c>
      <c r="AB9" s="38" t="s">
        <v>93</v>
      </c>
      <c r="AC9" s="38" t="s">
        <v>95</v>
      </c>
      <c r="AD9" s="38" t="s">
        <v>96</v>
      </c>
      <c r="AE9" s="38" t="s">
        <v>97</v>
      </c>
      <c r="AF9" s="41" t="s">
        <v>141</v>
      </c>
      <c r="AG9" s="42"/>
    </row>
    <row r="10" spans="2:33" s="28" customFormat="1" ht="12.75" customHeight="1">
      <c r="B10" s="33"/>
      <c r="C10" s="43">
        <v>45291</v>
      </c>
      <c r="D10" s="44" t="s">
        <v>102</v>
      </c>
      <c r="E10" s="44">
        <v>1101</v>
      </c>
      <c r="F10" s="44">
        <v>101</v>
      </c>
      <c r="G10" s="51" t="s">
        <v>103</v>
      </c>
      <c r="H10" s="51" t="s">
        <v>70</v>
      </c>
      <c r="I10" s="51"/>
      <c r="J10" s="51"/>
      <c r="K10" s="51"/>
      <c r="L10" s="51" t="s">
        <v>104</v>
      </c>
      <c r="M10" s="45"/>
      <c r="N10" s="45"/>
      <c r="O10" s="46"/>
      <c r="P10" s="46"/>
      <c r="Q10" s="46"/>
      <c r="R10" s="47">
        <v>46714</v>
      </c>
      <c r="S10" s="48">
        <v>41554</v>
      </c>
      <c r="T10" s="47">
        <v>46714</v>
      </c>
      <c r="U10" s="47"/>
      <c r="V10" s="47"/>
      <c r="W10" s="49">
        <v>100000000</v>
      </c>
      <c r="X10" s="46" t="s">
        <v>106</v>
      </c>
      <c r="Y10" s="46" t="s">
        <v>107</v>
      </c>
      <c r="Z10" s="52">
        <v>5</v>
      </c>
      <c r="AA10" s="44" t="s">
        <v>108</v>
      </c>
      <c r="AB10" s="47">
        <v>46714</v>
      </c>
      <c r="AC10" s="44" t="s">
        <v>109</v>
      </c>
      <c r="AD10" s="44">
        <v>105</v>
      </c>
      <c r="AE10" s="44">
        <v>120</v>
      </c>
      <c r="AF10" s="50">
        <v>413836.21</v>
      </c>
      <c r="AG10" s="42"/>
    </row>
    <row r="11" spans="2:33" s="28" customFormat="1" ht="12.75" customHeight="1">
      <c r="B11" s="33"/>
      <c r="C11" s="43">
        <v>45291</v>
      </c>
      <c r="D11" s="44" t="s">
        <v>102</v>
      </c>
      <c r="E11" s="44">
        <v>1101</v>
      </c>
      <c r="F11" s="44">
        <v>102</v>
      </c>
      <c r="G11" s="51" t="s">
        <v>103</v>
      </c>
      <c r="H11" s="51" t="s">
        <v>70</v>
      </c>
      <c r="I11" s="51"/>
      <c r="J11" s="51"/>
      <c r="K11" s="51"/>
      <c r="L11" s="51" t="s">
        <v>104</v>
      </c>
      <c r="M11" s="45"/>
      <c r="N11" s="45"/>
      <c r="O11" s="46"/>
      <c r="P11" s="46"/>
      <c r="Q11" s="46"/>
      <c r="R11" s="47">
        <v>46334</v>
      </c>
      <c r="S11" s="48">
        <v>41554</v>
      </c>
      <c r="T11" s="47">
        <v>46334</v>
      </c>
      <c r="U11" s="47"/>
      <c r="V11" s="47"/>
      <c r="W11" s="49">
        <v>20000000</v>
      </c>
      <c r="X11" s="46" t="s">
        <v>106</v>
      </c>
      <c r="Y11" s="46" t="s">
        <v>107</v>
      </c>
      <c r="Z11" s="52">
        <v>5</v>
      </c>
      <c r="AA11" s="44" t="s">
        <v>108</v>
      </c>
      <c r="AB11" s="47">
        <v>46334</v>
      </c>
      <c r="AC11" s="44" t="s">
        <v>110</v>
      </c>
      <c r="AD11" s="44">
        <v>125</v>
      </c>
      <c r="AE11" s="44">
        <v>115</v>
      </c>
      <c r="AF11" s="50">
        <v>89840.51</v>
      </c>
      <c r="AG11" s="42"/>
    </row>
    <row r="12" spans="2:33">
      <c r="B12" s="33"/>
      <c r="C12" s="43">
        <v>45291</v>
      </c>
      <c r="D12" s="44" t="s">
        <v>102</v>
      </c>
      <c r="E12" s="44">
        <v>1101</v>
      </c>
      <c r="F12" s="44">
        <v>103</v>
      </c>
      <c r="G12" s="51" t="s">
        <v>103</v>
      </c>
      <c r="H12" s="51" t="s">
        <v>70</v>
      </c>
      <c r="I12" s="51"/>
      <c r="J12" s="51"/>
      <c r="K12" s="51"/>
      <c r="L12" s="51" t="s">
        <v>111</v>
      </c>
      <c r="M12" s="45"/>
      <c r="N12" s="45"/>
      <c r="O12" s="46"/>
      <c r="P12" s="46"/>
      <c r="Q12" s="46"/>
      <c r="R12" s="47">
        <v>46334</v>
      </c>
      <c r="S12" s="48">
        <v>41554</v>
      </c>
      <c r="T12" s="47">
        <v>46334</v>
      </c>
      <c r="U12" s="47"/>
      <c r="V12" s="47"/>
      <c r="W12" s="49">
        <v>31865739.02</v>
      </c>
      <c r="X12" s="46" t="s">
        <v>106</v>
      </c>
      <c r="Y12" s="46" t="s">
        <v>107</v>
      </c>
      <c r="Z12" s="52">
        <v>5</v>
      </c>
      <c r="AA12" s="44" t="s">
        <v>112</v>
      </c>
      <c r="AB12" s="47">
        <v>46334</v>
      </c>
      <c r="AC12" s="44" t="s">
        <v>110</v>
      </c>
      <c r="AD12" s="44">
        <v>123</v>
      </c>
      <c r="AE12" s="44">
        <v>145</v>
      </c>
      <c r="AF12" s="50">
        <v>7406680.8300000001</v>
      </c>
      <c r="AG12" s="42"/>
    </row>
    <row r="13" spans="2:33">
      <c r="B13" s="33"/>
      <c r="C13" s="43">
        <v>45291</v>
      </c>
      <c r="D13" s="44" t="s">
        <v>102</v>
      </c>
      <c r="E13" s="44">
        <v>1101</v>
      </c>
      <c r="F13" s="44">
        <v>104</v>
      </c>
      <c r="G13" s="51" t="s">
        <v>103</v>
      </c>
      <c r="H13" s="51" t="s">
        <v>70</v>
      </c>
      <c r="I13" s="51"/>
      <c r="J13" s="51"/>
      <c r="K13" s="51"/>
      <c r="L13" s="51" t="s">
        <v>111</v>
      </c>
      <c r="M13" s="45"/>
      <c r="N13" s="45"/>
      <c r="O13" s="46"/>
      <c r="P13" s="46"/>
      <c r="Q13" s="46"/>
      <c r="R13" s="47">
        <v>45564</v>
      </c>
      <c r="S13" s="48">
        <v>41588</v>
      </c>
      <c r="T13" s="47">
        <v>45564</v>
      </c>
      <c r="U13" s="47"/>
      <c r="V13" s="47"/>
      <c r="W13" s="49">
        <v>31865739.02</v>
      </c>
      <c r="X13" s="46" t="s">
        <v>106</v>
      </c>
      <c r="Y13" s="46" t="s">
        <v>107</v>
      </c>
      <c r="Z13" s="52">
        <v>5</v>
      </c>
      <c r="AA13" s="44" t="s">
        <v>112</v>
      </c>
      <c r="AB13" s="47">
        <v>45564</v>
      </c>
      <c r="AC13" s="44" t="s">
        <v>109</v>
      </c>
      <c r="AD13" s="44">
        <v>132</v>
      </c>
      <c r="AE13" s="44">
        <v>150</v>
      </c>
      <c r="AF13" s="50">
        <v>-40774.639999999999</v>
      </c>
      <c r="AG13" s="42"/>
    </row>
    <row r="14" spans="2:33">
      <c r="B14" s="33"/>
      <c r="C14" s="43">
        <v>45291</v>
      </c>
      <c r="D14" s="44" t="s">
        <v>102</v>
      </c>
      <c r="E14" s="44">
        <v>1101</v>
      </c>
      <c r="F14" s="44">
        <v>105</v>
      </c>
      <c r="G14" s="51" t="s">
        <v>103</v>
      </c>
      <c r="H14" s="51" t="s">
        <v>70</v>
      </c>
      <c r="I14" s="51"/>
      <c r="J14" s="51"/>
      <c r="K14" s="51"/>
      <c r="L14" s="51" t="s">
        <v>111</v>
      </c>
      <c r="M14" s="45"/>
      <c r="N14" s="45"/>
      <c r="O14" s="46"/>
      <c r="P14" s="46"/>
      <c r="Q14" s="46"/>
      <c r="R14" s="47">
        <v>45564</v>
      </c>
      <c r="S14" s="48">
        <v>41593</v>
      </c>
      <c r="T14" s="47">
        <v>45564</v>
      </c>
      <c r="U14" s="47"/>
      <c r="V14" s="47"/>
      <c r="W14" s="49">
        <v>10621913.01</v>
      </c>
      <c r="X14" s="46" t="s">
        <v>106</v>
      </c>
      <c r="Y14" s="46" t="s">
        <v>107</v>
      </c>
      <c r="Z14" s="52">
        <v>5</v>
      </c>
      <c r="AA14" s="44" t="s">
        <v>108</v>
      </c>
      <c r="AB14" s="47">
        <v>45564</v>
      </c>
      <c r="AC14" s="44" t="s">
        <v>110</v>
      </c>
      <c r="AD14" s="44">
        <v>127</v>
      </c>
      <c r="AE14" s="44">
        <v>120</v>
      </c>
      <c r="AF14" s="50">
        <v>1671083.41</v>
      </c>
      <c r="AG14" s="42"/>
    </row>
    <row r="15" spans="2:33">
      <c r="B15" s="33"/>
      <c r="C15" s="43">
        <v>45291</v>
      </c>
      <c r="D15" s="44" t="s">
        <v>102</v>
      </c>
      <c r="E15" s="44">
        <v>1101</v>
      </c>
      <c r="F15" s="44">
        <v>106</v>
      </c>
      <c r="G15" s="51" t="s">
        <v>113</v>
      </c>
      <c r="H15" s="51" t="s">
        <v>70</v>
      </c>
      <c r="I15" s="51"/>
      <c r="J15" s="51"/>
      <c r="K15" s="51"/>
      <c r="L15" s="51" t="s">
        <v>111</v>
      </c>
      <c r="M15" s="45"/>
      <c r="N15" s="45"/>
      <c r="O15" s="46"/>
      <c r="P15" s="46"/>
      <c r="Q15" s="46"/>
      <c r="R15" s="47">
        <v>45545</v>
      </c>
      <c r="S15" s="48">
        <v>41593</v>
      </c>
      <c r="T15" s="47">
        <v>45545</v>
      </c>
      <c r="U15" s="47"/>
      <c r="V15" s="47"/>
      <c r="W15" s="49">
        <v>52801098.259999998</v>
      </c>
      <c r="X15" s="46" t="s">
        <v>106</v>
      </c>
      <c r="Y15" s="46" t="s">
        <v>107</v>
      </c>
      <c r="Z15" s="52">
        <v>5</v>
      </c>
      <c r="AA15" s="44" t="s">
        <v>108</v>
      </c>
      <c r="AB15" s="47">
        <v>45545</v>
      </c>
      <c r="AC15" s="44" t="s">
        <v>109</v>
      </c>
      <c r="AD15" s="44">
        <v>135</v>
      </c>
      <c r="AE15" s="44">
        <v>154</v>
      </c>
      <c r="AF15" s="50">
        <v>-149917.47</v>
      </c>
      <c r="AG15" s="42"/>
    </row>
    <row r="16" spans="2:33">
      <c r="B16" s="33"/>
      <c r="C16" s="43">
        <v>45291</v>
      </c>
      <c r="D16" s="44" t="s">
        <v>102</v>
      </c>
      <c r="E16" s="44">
        <v>1101</v>
      </c>
      <c r="F16" s="44">
        <v>107</v>
      </c>
      <c r="G16" s="51" t="s">
        <v>114</v>
      </c>
      <c r="H16" s="51" t="s">
        <v>70</v>
      </c>
      <c r="I16" s="51"/>
      <c r="J16" s="51"/>
      <c r="K16" s="51"/>
      <c r="L16" s="51" t="s">
        <v>115</v>
      </c>
      <c r="M16" s="45" t="s">
        <v>116</v>
      </c>
      <c r="N16" s="45" t="s">
        <v>117</v>
      </c>
      <c r="O16" s="46"/>
      <c r="P16" s="46"/>
      <c r="Q16" s="46"/>
      <c r="R16" s="47">
        <v>46734</v>
      </c>
      <c r="S16" s="48">
        <v>41491</v>
      </c>
      <c r="T16" s="47">
        <v>46734</v>
      </c>
      <c r="U16" s="47"/>
      <c r="V16" s="47"/>
      <c r="W16" s="49">
        <v>58081208.090000004</v>
      </c>
      <c r="X16" s="46" t="s">
        <v>106</v>
      </c>
      <c r="Y16" s="46" t="s">
        <v>107</v>
      </c>
      <c r="Z16" s="52">
        <v>5</v>
      </c>
      <c r="AA16" s="44" t="s">
        <v>112</v>
      </c>
      <c r="AB16" s="44"/>
      <c r="AC16" s="44"/>
      <c r="AD16" s="44"/>
      <c r="AE16" s="44"/>
      <c r="AF16" s="50">
        <v>149515.81</v>
      </c>
      <c r="AG16" s="42"/>
    </row>
    <row r="17" spans="2:33">
      <c r="B17" s="33"/>
      <c r="C17" s="43">
        <v>45291</v>
      </c>
      <c r="D17" s="44" t="s">
        <v>102</v>
      </c>
      <c r="E17" s="44">
        <v>1101</v>
      </c>
      <c r="F17" s="44">
        <v>108</v>
      </c>
      <c r="G17" s="51" t="s">
        <v>114</v>
      </c>
      <c r="H17" s="51" t="s">
        <v>70</v>
      </c>
      <c r="I17" s="51"/>
      <c r="J17" s="51"/>
      <c r="K17" s="51"/>
      <c r="L17" s="51" t="s">
        <v>115</v>
      </c>
      <c r="M17" s="45" t="s">
        <v>116</v>
      </c>
      <c r="N17" s="45" t="s">
        <v>119</v>
      </c>
      <c r="O17" s="46"/>
      <c r="P17" s="46"/>
      <c r="Q17" s="46"/>
      <c r="R17" s="47">
        <v>45656</v>
      </c>
      <c r="S17" s="48">
        <v>41491</v>
      </c>
      <c r="T17" s="47">
        <v>45656</v>
      </c>
      <c r="U17" s="47"/>
      <c r="V17" s="47"/>
      <c r="W17" s="49">
        <v>19225500</v>
      </c>
      <c r="X17" s="46" t="s">
        <v>106</v>
      </c>
      <c r="Y17" s="46" t="s">
        <v>107</v>
      </c>
      <c r="Z17" s="52">
        <v>5</v>
      </c>
      <c r="AA17" s="44" t="s">
        <v>108</v>
      </c>
      <c r="AB17" s="44"/>
      <c r="AC17" s="44"/>
      <c r="AD17" s="44"/>
      <c r="AE17" s="44"/>
      <c r="AF17" s="50">
        <v>23975.65</v>
      </c>
      <c r="AG17" s="42"/>
    </row>
    <row r="18" spans="2:33">
      <c r="B18" s="33"/>
      <c r="C18" s="43">
        <v>45291</v>
      </c>
      <c r="D18" s="44" t="s">
        <v>125</v>
      </c>
      <c r="E18" s="44">
        <v>1102</v>
      </c>
      <c r="F18" s="44">
        <v>109</v>
      </c>
      <c r="G18" s="51" t="s">
        <v>114</v>
      </c>
      <c r="H18" s="51" t="s">
        <v>70</v>
      </c>
      <c r="I18" s="51"/>
      <c r="J18" s="51"/>
      <c r="K18" s="51"/>
      <c r="L18" s="51" t="s">
        <v>104</v>
      </c>
      <c r="M18" s="45"/>
      <c r="N18" s="45"/>
      <c r="O18" s="46"/>
      <c r="P18" s="46"/>
      <c r="Q18" s="46"/>
      <c r="R18" s="47">
        <v>45656</v>
      </c>
      <c r="S18" s="48">
        <v>41554</v>
      </c>
      <c r="T18" s="47">
        <v>45656</v>
      </c>
      <c r="U18" s="47"/>
      <c r="V18" s="47"/>
      <c r="W18" s="49">
        <v>47422900</v>
      </c>
      <c r="X18" s="46" t="s">
        <v>106</v>
      </c>
      <c r="Y18" s="46" t="s">
        <v>107</v>
      </c>
      <c r="Z18" s="52">
        <v>5</v>
      </c>
      <c r="AA18" s="44" t="s">
        <v>108</v>
      </c>
      <c r="AB18" s="44"/>
      <c r="AC18" s="44"/>
      <c r="AD18" s="44"/>
      <c r="AE18" s="44"/>
      <c r="AF18" s="50">
        <v>1949.32</v>
      </c>
      <c r="AG18" s="42"/>
    </row>
    <row r="19" spans="2:33">
      <c r="B19" s="33"/>
      <c r="C19" s="43">
        <v>45291</v>
      </c>
      <c r="D19" s="44" t="s">
        <v>125</v>
      </c>
      <c r="E19" s="44">
        <v>1102</v>
      </c>
      <c r="F19" s="44">
        <v>110</v>
      </c>
      <c r="G19" s="51" t="s">
        <v>114</v>
      </c>
      <c r="H19" s="51" t="s">
        <v>70</v>
      </c>
      <c r="I19" s="51"/>
      <c r="J19" s="51"/>
      <c r="K19" s="51"/>
      <c r="L19" s="51" t="s">
        <v>104</v>
      </c>
      <c r="M19" s="45"/>
      <c r="N19" s="45"/>
      <c r="O19" s="46"/>
      <c r="P19" s="46"/>
      <c r="Q19" s="46"/>
      <c r="R19" s="47">
        <v>45679</v>
      </c>
      <c r="S19" s="48">
        <v>41640</v>
      </c>
      <c r="T19" s="47">
        <v>45679</v>
      </c>
      <c r="U19" s="47"/>
      <c r="V19" s="47"/>
      <c r="W19" s="49">
        <v>41014400</v>
      </c>
      <c r="X19" s="46" t="s">
        <v>106</v>
      </c>
      <c r="Y19" s="46" t="s">
        <v>107</v>
      </c>
      <c r="Z19" s="52">
        <v>5</v>
      </c>
      <c r="AA19" s="44" t="s">
        <v>112</v>
      </c>
      <c r="AB19" s="44"/>
      <c r="AC19" s="44"/>
      <c r="AD19" s="44"/>
      <c r="AE19" s="44"/>
      <c r="AF19" s="50">
        <v>-16568.28</v>
      </c>
      <c r="AG19" s="42"/>
    </row>
    <row r="20" spans="2:33">
      <c r="B20" s="33"/>
      <c r="C20" s="43">
        <v>45291</v>
      </c>
      <c r="D20" s="44" t="s">
        <v>125</v>
      </c>
      <c r="E20" s="44">
        <v>1102</v>
      </c>
      <c r="F20" s="44">
        <v>111</v>
      </c>
      <c r="G20" s="51" t="s">
        <v>114</v>
      </c>
      <c r="H20" s="51" t="s">
        <v>70</v>
      </c>
      <c r="I20" s="51"/>
      <c r="J20" s="51"/>
      <c r="K20" s="51"/>
      <c r="L20" s="51" t="s">
        <v>104</v>
      </c>
      <c r="M20" s="45"/>
      <c r="N20" s="45"/>
      <c r="O20" s="46"/>
      <c r="P20" s="46"/>
      <c r="Q20" s="46"/>
      <c r="R20" s="47">
        <v>47064</v>
      </c>
      <c r="S20" s="48">
        <v>41640</v>
      </c>
      <c r="T20" s="47">
        <v>47064</v>
      </c>
      <c r="U20" s="47"/>
      <c r="V20" s="47"/>
      <c r="W20" s="49">
        <v>128170000</v>
      </c>
      <c r="X20" s="46" t="s">
        <v>106</v>
      </c>
      <c r="Y20" s="46" t="s">
        <v>107</v>
      </c>
      <c r="Z20" s="52">
        <v>10</v>
      </c>
      <c r="AA20" s="44" t="s">
        <v>108</v>
      </c>
      <c r="AB20" s="44"/>
      <c r="AC20" s="44"/>
      <c r="AD20" s="44"/>
      <c r="AE20" s="44"/>
      <c r="AF20" s="50">
        <v>58017.1</v>
      </c>
      <c r="AG20" s="42"/>
    </row>
    <row r="21" spans="2:33">
      <c r="B21" s="33"/>
      <c r="C21" s="43">
        <v>45291</v>
      </c>
      <c r="D21" s="44" t="s">
        <v>125</v>
      </c>
      <c r="E21" s="44">
        <v>1102</v>
      </c>
      <c r="F21" s="44">
        <v>112</v>
      </c>
      <c r="G21" s="51" t="s">
        <v>114</v>
      </c>
      <c r="H21" s="51" t="s">
        <v>70</v>
      </c>
      <c r="I21" s="51"/>
      <c r="J21" s="51"/>
      <c r="K21" s="51"/>
      <c r="L21" s="51" t="s">
        <v>104</v>
      </c>
      <c r="M21" s="45"/>
      <c r="N21" s="45"/>
      <c r="O21" s="46"/>
      <c r="P21" s="46"/>
      <c r="Q21" s="46"/>
      <c r="R21" s="47">
        <v>47263</v>
      </c>
      <c r="S21" s="48">
        <v>41640</v>
      </c>
      <c r="T21" s="47">
        <v>47263</v>
      </c>
      <c r="U21" s="47"/>
      <c r="V21" s="47"/>
      <c r="W21" s="49">
        <v>21788900</v>
      </c>
      <c r="X21" s="46" t="s">
        <v>106</v>
      </c>
      <c r="Y21" s="46" t="s">
        <v>107</v>
      </c>
      <c r="Z21" s="52">
        <v>10</v>
      </c>
      <c r="AA21" s="44" t="s">
        <v>112</v>
      </c>
      <c r="AB21" s="44"/>
      <c r="AC21" s="44"/>
      <c r="AD21" s="44"/>
      <c r="AE21" s="44"/>
      <c r="AF21" s="50">
        <v>11605.1</v>
      </c>
      <c r="AG21" s="42"/>
    </row>
    <row r="22" spans="2:33">
      <c r="B22" s="33"/>
      <c r="C22" s="43">
        <v>45291</v>
      </c>
      <c r="D22" s="44" t="s">
        <v>125</v>
      </c>
      <c r="E22" s="44">
        <v>1102</v>
      </c>
      <c r="F22" s="44">
        <v>113</v>
      </c>
      <c r="G22" s="51" t="s">
        <v>122</v>
      </c>
      <c r="H22" s="51" t="s">
        <v>70</v>
      </c>
      <c r="I22" s="51"/>
      <c r="J22" s="51"/>
      <c r="K22" s="51"/>
      <c r="L22" s="51" t="s">
        <v>115</v>
      </c>
      <c r="M22" s="45"/>
      <c r="N22" s="45"/>
      <c r="O22" s="46"/>
      <c r="P22" s="46"/>
      <c r="Q22" s="46"/>
      <c r="R22" s="47">
        <v>47260</v>
      </c>
      <c r="S22" s="48">
        <v>41496</v>
      </c>
      <c r="T22" s="47">
        <v>47260</v>
      </c>
      <c r="U22" s="47"/>
      <c r="V22" s="47"/>
      <c r="W22" s="49">
        <v>233269400</v>
      </c>
      <c r="X22" s="46" t="s">
        <v>106</v>
      </c>
      <c r="Y22" s="46" t="s">
        <v>107</v>
      </c>
      <c r="Z22" s="52">
        <v>10</v>
      </c>
      <c r="AA22" s="44" t="s">
        <v>108</v>
      </c>
      <c r="AB22" s="44"/>
      <c r="AC22" s="44"/>
      <c r="AD22" s="44"/>
      <c r="AE22" s="44"/>
      <c r="AF22" s="50">
        <v>41757.839999999997</v>
      </c>
      <c r="AG22" s="42"/>
    </row>
    <row r="23" spans="2:33">
      <c r="B23" s="33"/>
      <c r="C23" s="43">
        <v>45291</v>
      </c>
      <c r="D23" s="44" t="s">
        <v>125</v>
      </c>
      <c r="E23" s="44">
        <v>1102</v>
      </c>
      <c r="F23" s="44">
        <v>114</v>
      </c>
      <c r="G23" s="51" t="s">
        <v>122</v>
      </c>
      <c r="H23" s="51" t="s">
        <v>70</v>
      </c>
      <c r="I23" s="51"/>
      <c r="J23" s="51"/>
      <c r="K23" s="51"/>
      <c r="L23" s="51" t="s">
        <v>115</v>
      </c>
      <c r="M23" s="45"/>
      <c r="N23" s="45"/>
      <c r="O23" s="46"/>
      <c r="P23" s="46"/>
      <c r="Q23" s="46"/>
      <c r="R23" s="47">
        <v>46191</v>
      </c>
      <c r="S23" s="48">
        <v>41496</v>
      </c>
      <c r="T23" s="47">
        <v>46191</v>
      </c>
      <c r="U23" s="47"/>
      <c r="V23" s="47"/>
      <c r="W23" s="49">
        <v>32042500</v>
      </c>
      <c r="X23" s="46" t="s">
        <v>106</v>
      </c>
      <c r="Y23" s="46" t="s">
        <v>107</v>
      </c>
      <c r="Z23" s="52">
        <v>10</v>
      </c>
      <c r="AA23" s="44" t="s">
        <v>112</v>
      </c>
      <c r="AB23" s="44"/>
      <c r="AC23" s="44"/>
      <c r="AD23" s="44"/>
      <c r="AE23" s="44"/>
      <c r="AF23" s="50">
        <v>-16095.05</v>
      </c>
      <c r="AG23" s="42"/>
    </row>
    <row r="24" spans="2:33">
      <c r="B24" s="33"/>
      <c r="C24" s="43">
        <v>45291</v>
      </c>
      <c r="D24" s="44" t="s">
        <v>121</v>
      </c>
      <c r="E24" s="44">
        <v>1103</v>
      </c>
      <c r="F24" s="44">
        <v>115</v>
      </c>
      <c r="G24" s="51" t="s">
        <v>122</v>
      </c>
      <c r="H24" s="51" t="s">
        <v>70</v>
      </c>
      <c r="I24" s="51"/>
      <c r="J24" s="51"/>
      <c r="K24" s="51"/>
      <c r="L24" s="51" t="s">
        <v>111</v>
      </c>
      <c r="M24" s="45"/>
      <c r="N24" s="45"/>
      <c r="O24" s="46"/>
      <c r="P24" s="46"/>
      <c r="Q24" s="46"/>
      <c r="R24" s="47">
        <v>45432</v>
      </c>
      <c r="S24" s="48">
        <v>41496</v>
      </c>
      <c r="T24" s="47">
        <v>45432</v>
      </c>
      <c r="U24" s="47"/>
      <c r="V24" s="47"/>
      <c r="W24" s="49">
        <v>79465400</v>
      </c>
      <c r="X24" s="46" t="s">
        <v>123</v>
      </c>
      <c r="Y24" s="46" t="s">
        <v>107</v>
      </c>
      <c r="Z24" s="52" t="s">
        <v>124</v>
      </c>
      <c r="AA24" s="44" t="s">
        <v>112</v>
      </c>
      <c r="AB24" s="44"/>
      <c r="AC24" s="44"/>
      <c r="AD24" s="44"/>
      <c r="AE24" s="44"/>
      <c r="AF24" s="50">
        <v>-40581.589999999997</v>
      </c>
      <c r="AG24" s="42"/>
    </row>
    <row r="25" spans="2:33">
      <c r="B25" s="33"/>
      <c r="C25" s="43">
        <v>45291</v>
      </c>
      <c r="D25" s="44" t="s">
        <v>121</v>
      </c>
      <c r="E25" s="44">
        <v>1103</v>
      </c>
      <c r="F25" s="44">
        <v>116</v>
      </c>
      <c r="G25" s="51" t="s">
        <v>122</v>
      </c>
      <c r="H25" s="51" t="s">
        <v>70</v>
      </c>
      <c r="I25" s="51"/>
      <c r="J25" s="51"/>
      <c r="K25" s="51"/>
      <c r="L25" s="51" t="s">
        <v>111</v>
      </c>
      <c r="M25" s="45"/>
      <c r="N25" s="45"/>
      <c r="O25" s="46"/>
      <c r="P25" s="46"/>
      <c r="Q25" s="46"/>
      <c r="R25" s="47">
        <v>46061</v>
      </c>
      <c r="S25" s="48">
        <v>41496</v>
      </c>
      <c r="T25" s="47">
        <v>46061</v>
      </c>
      <c r="U25" s="47"/>
      <c r="V25" s="47"/>
      <c r="W25" s="49">
        <v>215325600</v>
      </c>
      <c r="X25" s="46" t="s">
        <v>123</v>
      </c>
      <c r="Y25" s="46" t="s">
        <v>107</v>
      </c>
      <c r="Z25" s="52" t="s">
        <v>124</v>
      </c>
      <c r="AA25" s="44" t="s">
        <v>112</v>
      </c>
      <c r="AB25" s="44"/>
      <c r="AC25" s="44"/>
      <c r="AD25" s="44"/>
      <c r="AE25" s="44"/>
      <c r="AF25" s="50">
        <v>-110173.33</v>
      </c>
      <c r="AG25" s="42"/>
    </row>
  </sheetData>
  <mergeCells count="1">
    <mergeCell ref="AB8:A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CEM Conversion Factor Matrix</vt:lpstr>
      <vt:lpstr>CEM Example</vt:lpstr>
      <vt:lpstr>IMM Example</vt:lpstr>
      <vt:lpstr>SA CCR Interest Rate Example</vt:lpstr>
      <vt:lpstr>SA CCR EQ Example</vt:lpstr>
      <vt:lpstr>Superviosry Table 2</vt:lpstr>
      <vt:lpstr>Project</vt:lpstr>
      <vt:lpstr>Project Trade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Qingji Yang</dc:creator>
  <cp:lastModifiedBy>Erya Jain</cp:lastModifiedBy>
  <dcterms:created xsi:type="dcterms:W3CDTF">2024-10-26T21:15:21Z</dcterms:created>
  <dcterms:modified xsi:type="dcterms:W3CDTF">2026-01-15T02:44:12Z</dcterms:modified>
</cp:coreProperties>
</file>